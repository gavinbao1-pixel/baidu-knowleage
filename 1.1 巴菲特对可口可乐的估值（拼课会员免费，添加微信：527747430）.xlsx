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F:\4A、奶爸+佩虎\股票课程2：估值的方法\1、课程附表\"/>
    </mc:Choice>
  </mc:AlternateContent>
  <xr:revisionPtr revIDLastSave="0" documentId="13_ncr:1_{31A16974-C1D7-490A-BE44-884CA8850F8D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假设1" sheetId="3" r:id="rId1"/>
    <sheet name="假设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5" l="1"/>
  <c r="B5" i="5" s="1"/>
  <c r="D6" i="5"/>
  <c r="D7" i="5" s="1"/>
  <c r="D8" i="5" s="1"/>
  <c r="D9" i="5" s="1"/>
  <c r="D10" i="5" s="1"/>
  <c r="D11" i="5" s="1"/>
  <c r="D12" i="5" s="1"/>
  <c r="D13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" i="5"/>
  <c r="D4" i="5"/>
  <c r="F5" i="5" l="1"/>
  <c r="H5" i="5" s="1"/>
  <c r="B6" i="5"/>
  <c r="B7" i="5" s="1"/>
  <c r="B8" i="5" s="1"/>
  <c r="B9" i="5" s="1"/>
  <c r="B10" i="5" s="1"/>
  <c r="B11" i="5" s="1"/>
  <c r="B12" i="5" s="1"/>
  <c r="B13" i="5" s="1"/>
  <c r="F4" i="5"/>
  <c r="H4" i="5"/>
  <c r="D4" i="3"/>
  <c r="D5" i="3" s="1"/>
  <c r="D6" i="3" s="1"/>
  <c r="D7" i="3" s="1"/>
  <c r="D8" i="3" s="1"/>
  <c r="D9" i="3" s="1"/>
  <c r="D10" i="3" s="1"/>
  <c r="D11" i="3" s="1"/>
  <c r="D12" i="3" s="1"/>
  <c r="D13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B4" i="3"/>
  <c r="B5" i="3" s="1"/>
  <c r="B6" i="3" s="1"/>
  <c r="F6" i="5" l="1"/>
  <c r="F6" i="3"/>
  <c r="B7" i="3"/>
  <c r="F5" i="3"/>
  <c r="F4" i="3"/>
  <c r="H6" i="5" l="1"/>
  <c r="F7" i="5"/>
  <c r="B8" i="3"/>
  <c r="F7" i="3"/>
  <c r="H5" i="3"/>
  <c r="H4" i="3"/>
  <c r="H6" i="3"/>
  <c r="F8" i="5" l="1"/>
  <c r="H7" i="5"/>
  <c r="H7" i="3"/>
  <c r="B9" i="3"/>
  <c r="F8" i="3"/>
  <c r="F9" i="5" l="1"/>
  <c r="H9" i="5"/>
  <c r="H8" i="5"/>
  <c r="H8" i="3"/>
  <c r="F9" i="3"/>
  <c r="B10" i="3"/>
  <c r="F10" i="5" l="1"/>
  <c r="B11" i="3"/>
  <c r="F10" i="3"/>
  <c r="H10" i="3" s="1"/>
  <c r="H9" i="3"/>
  <c r="F11" i="5" l="1"/>
  <c r="H11" i="5" s="1"/>
  <c r="H10" i="5"/>
  <c r="B12" i="3"/>
  <c r="F11" i="3"/>
  <c r="H11" i="3" s="1"/>
  <c r="F12" i="5" l="1"/>
  <c r="F12" i="3"/>
  <c r="B13" i="3"/>
  <c r="B15" i="5" l="1"/>
  <c r="F13" i="5"/>
  <c r="H13" i="5" s="1"/>
  <c r="H12" i="5"/>
  <c r="B15" i="3"/>
  <c r="F13" i="3"/>
  <c r="H13" i="3" s="1"/>
  <c r="H12" i="3"/>
  <c r="K3" i="5" l="1"/>
  <c r="K12" i="5"/>
  <c r="K13" i="5" s="1"/>
  <c r="F15" i="5"/>
  <c r="B16" i="5"/>
  <c r="K3" i="3"/>
  <c r="B16" i="3"/>
  <c r="F15" i="3"/>
  <c r="K12" i="3"/>
  <c r="H15" i="5" l="1"/>
  <c r="F16" i="5"/>
  <c r="H16" i="5" s="1"/>
  <c r="B17" i="5"/>
  <c r="K13" i="3"/>
  <c r="H15" i="3"/>
  <c r="B17" i="3"/>
  <c r="F16" i="3"/>
  <c r="H16" i="3" s="1"/>
  <c r="B18" i="5" l="1"/>
  <c r="F17" i="5"/>
  <c r="H17" i="5" s="1"/>
  <c r="F17" i="3"/>
  <c r="B18" i="3"/>
  <c r="B19" i="5" l="1"/>
  <c r="F18" i="5"/>
  <c r="B19" i="3"/>
  <c r="F18" i="3"/>
  <c r="H18" i="3" s="1"/>
  <c r="H17" i="3"/>
  <c r="H18" i="5" l="1"/>
  <c r="F19" i="5"/>
  <c r="H19" i="5" s="1"/>
  <c r="B20" i="5"/>
  <c r="B20" i="3"/>
  <c r="F19" i="3"/>
  <c r="B21" i="5" l="1"/>
  <c r="F20" i="5"/>
  <c r="F20" i="3"/>
  <c r="H20" i="3" s="1"/>
  <c r="B21" i="3"/>
  <c r="H19" i="3"/>
  <c r="H20" i="5" l="1"/>
  <c r="F21" i="5"/>
  <c r="B22" i="5"/>
  <c r="B22" i="3"/>
  <c r="F21" i="3"/>
  <c r="F22" i="5" l="1"/>
  <c r="H22" i="5" s="1"/>
  <c r="B23" i="5"/>
  <c r="H21" i="5"/>
  <c r="H21" i="3"/>
  <c r="B23" i="3"/>
  <c r="F22" i="3"/>
  <c r="H22" i="3" s="1"/>
  <c r="B24" i="5" l="1"/>
  <c r="F23" i="5"/>
  <c r="H23" i="5" s="1"/>
  <c r="F23" i="3"/>
  <c r="B24" i="3"/>
  <c r="B25" i="5" l="1"/>
  <c r="F24" i="5"/>
  <c r="H24" i="5" s="1"/>
  <c r="B25" i="3"/>
  <c r="F24" i="3"/>
  <c r="H24" i="3" s="1"/>
  <c r="H23" i="3"/>
  <c r="F25" i="5" l="1"/>
  <c r="H25" i="5" s="1"/>
  <c r="B26" i="5"/>
  <c r="B26" i="3"/>
  <c r="F25" i="3"/>
  <c r="H25" i="3" s="1"/>
  <c r="B27" i="5" l="1"/>
  <c r="F26" i="5"/>
  <c r="H26" i="5" s="1"/>
  <c r="F26" i="3"/>
  <c r="H26" i="3" s="1"/>
  <c r="B27" i="3"/>
  <c r="B28" i="5" l="1"/>
  <c r="F27" i="5"/>
  <c r="H27" i="5" s="1"/>
  <c r="B28" i="3"/>
  <c r="F27" i="3"/>
  <c r="H27" i="3" s="1"/>
  <c r="F28" i="5" l="1"/>
  <c r="H28" i="5" s="1"/>
  <c r="B29" i="5"/>
  <c r="B29" i="3"/>
  <c r="F28" i="3"/>
  <c r="H28" i="3" s="1"/>
  <c r="B30" i="5" l="1"/>
  <c r="F29" i="5"/>
  <c r="H29" i="5" s="1"/>
  <c r="F29" i="3"/>
  <c r="H29" i="3" s="1"/>
  <c r="B30" i="3"/>
  <c r="B31" i="5" l="1"/>
  <c r="F30" i="5"/>
  <c r="H30" i="5" s="1"/>
  <c r="B31" i="3"/>
  <c r="F30" i="3"/>
  <c r="H30" i="3" s="1"/>
  <c r="F31" i="5" l="1"/>
  <c r="H31" i="5" s="1"/>
  <c r="B32" i="5"/>
  <c r="B32" i="3"/>
  <c r="F31" i="3"/>
  <c r="H31" i="3" s="1"/>
  <c r="B33" i="5" l="1"/>
  <c r="F32" i="5"/>
  <c r="H32" i="5" s="1"/>
  <c r="F32" i="3"/>
  <c r="H32" i="3" s="1"/>
  <c r="B33" i="3"/>
  <c r="B34" i="5" l="1"/>
  <c r="F33" i="5"/>
  <c r="H33" i="5" s="1"/>
  <c r="B34" i="3"/>
  <c r="F33" i="3"/>
  <c r="H33" i="3" s="1"/>
  <c r="F34" i="5" l="1"/>
  <c r="B35" i="5"/>
  <c r="B35" i="3"/>
  <c r="F34" i="3"/>
  <c r="B36" i="5" l="1"/>
  <c r="F35" i="5"/>
  <c r="H35" i="5" s="1"/>
  <c r="H34" i="5"/>
  <c r="K4" i="5"/>
  <c r="H34" i="3"/>
  <c r="K4" i="3"/>
  <c r="F35" i="3"/>
  <c r="H35" i="3" s="1"/>
  <c r="B36" i="3"/>
  <c r="F36" i="5" l="1"/>
  <c r="H36" i="5" s="1"/>
  <c r="B37" i="5"/>
  <c r="B37" i="3"/>
  <c r="F36" i="3"/>
  <c r="H36" i="3" s="1"/>
  <c r="F37" i="5" l="1"/>
  <c r="H37" i="5" s="1"/>
  <c r="B38" i="5"/>
  <c r="B38" i="3"/>
  <c r="F37" i="3"/>
  <c r="H37" i="3" s="1"/>
  <c r="B39" i="5" l="1"/>
  <c r="F38" i="5"/>
  <c r="H38" i="5" s="1"/>
  <c r="F38" i="3"/>
  <c r="H38" i="3" s="1"/>
  <c r="B39" i="3"/>
  <c r="B40" i="5" l="1"/>
  <c r="F39" i="5"/>
  <c r="H39" i="5" s="1"/>
  <c r="B40" i="3"/>
  <c r="F39" i="3"/>
  <c r="H39" i="3" s="1"/>
  <c r="F40" i="5" l="1"/>
  <c r="H40" i="5" s="1"/>
  <c r="B41" i="5"/>
  <c r="B41" i="3"/>
  <c r="F40" i="3"/>
  <c r="H40" i="3" s="1"/>
  <c r="B42" i="5" l="1"/>
  <c r="F41" i="5"/>
  <c r="H41" i="5" s="1"/>
  <c r="F41" i="3"/>
  <c r="H41" i="3" s="1"/>
  <c r="B42" i="3"/>
  <c r="F42" i="5" l="1"/>
  <c r="H42" i="5" s="1"/>
  <c r="B43" i="5"/>
  <c r="B43" i="3"/>
  <c r="F42" i="3"/>
  <c r="H42" i="3" s="1"/>
  <c r="F43" i="5" l="1"/>
  <c r="H43" i="5" s="1"/>
  <c r="B44" i="5"/>
  <c r="B44" i="3"/>
  <c r="F43" i="3"/>
  <c r="H43" i="3" s="1"/>
  <c r="B45" i="5" l="1"/>
  <c r="F44" i="5"/>
  <c r="H44" i="5" s="1"/>
  <c r="F44" i="3"/>
  <c r="H44" i="3" s="1"/>
  <c r="B45" i="3"/>
  <c r="B46" i="5" l="1"/>
  <c r="F45" i="5"/>
  <c r="H45" i="5" s="1"/>
  <c r="B46" i="3"/>
  <c r="F45" i="3"/>
  <c r="H45" i="3" s="1"/>
  <c r="F46" i="5" l="1"/>
  <c r="H46" i="5" s="1"/>
  <c r="B47" i="5"/>
  <c r="B47" i="3"/>
  <c r="F46" i="3"/>
  <c r="H46" i="3" s="1"/>
  <c r="B48" i="5" l="1"/>
  <c r="F47" i="5"/>
  <c r="H47" i="5" s="1"/>
  <c r="F47" i="3"/>
  <c r="H47" i="3" s="1"/>
  <c r="B48" i="3"/>
  <c r="B49" i="5" l="1"/>
  <c r="F48" i="5"/>
  <c r="H48" i="5" s="1"/>
  <c r="B49" i="3"/>
  <c r="F48" i="3"/>
  <c r="H48" i="3" s="1"/>
  <c r="F49" i="5" l="1"/>
  <c r="H49" i="5" s="1"/>
  <c r="B50" i="5"/>
  <c r="B50" i="3"/>
  <c r="F49" i="3"/>
  <c r="H49" i="3" s="1"/>
  <c r="B51" i="5" l="1"/>
  <c r="F50" i="5"/>
  <c r="H50" i="5" s="1"/>
  <c r="F50" i="3"/>
  <c r="H50" i="3" s="1"/>
  <c r="B51" i="3"/>
  <c r="B52" i="5" l="1"/>
  <c r="F51" i="5"/>
  <c r="H51" i="5" s="1"/>
  <c r="B52" i="3"/>
  <c r="F51" i="3"/>
  <c r="H51" i="3" s="1"/>
  <c r="F52" i="5" l="1"/>
  <c r="H52" i="5" s="1"/>
  <c r="B53" i="5"/>
  <c r="B53" i="3"/>
  <c r="F52" i="3"/>
  <c r="H52" i="3" s="1"/>
  <c r="B54" i="5" l="1"/>
  <c r="F53" i="5"/>
  <c r="H53" i="5" s="1"/>
  <c r="F53" i="3"/>
  <c r="H53" i="3" s="1"/>
  <c r="B54" i="3"/>
  <c r="B55" i="5" l="1"/>
  <c r="F54" i="5"/>
  <c r="H54" i="5" s="1"/>
  <c r="B55" i="3"/>
  <c r="F54" i="3"/>
  <c r="H54" i="3" s="1"/>
  <c r="F55" i="5" l="1"/>
  <c r="H55" i="5" s="1"/>
  <c r="B56" i="5"/>
  <c r="B56" i="3"/>
  <c r="F55" i="3"/>
  <c r="H55" i="3" s="1"/>
  <c r="B57" i="5" l="1"/>
  <c r="F56" i="5"/>
  <c r="H56" i="5" s="1"/>
  <c r="F56" i="3"/>
  <c r="H56" i="3" s="1"/>
  <c r="B57" i="3"/>
  <c r="B58" i="5" l="1"/>
  <c r="F57" i="5"/>
  <c r="H57" i="5" s="1"/>
  <c r="B58" i="3"/>
  <c r="F57" i="3"/>
  <c r="H57" i="3" s="1"/>
  <c r="F58" i="5" l="1"/>
  <c r="H58" i="5" s="1"/>
  <c r="B59" i="5"/>
  <c r="B59" i="3"/>
  <c r="F58" i="3"/>
  <c r="H58" i="3" s="1"/>
  <c r="B60" i="5" l="1"/>
  <c r="F59" i="5"/>
  <c r="H59" i="5" s="1"/>
  <c r="F59" i="3"/>
  <c r="H59" i="3" s="1"/>
  <c r="B60" i="3"/>
  <c r="F60" i="5" l="1"/>
  <c r="H60" i="5" s="1"/>
  <c r="B61" i="5"/>
  <c r="B61" i="3"/>
  <c r="F60" i="3"/>
  <c r="H60" i="3" s="1"/>
  <c r="F61" i="5" l="1"/>
  <c r="H61" i="5" s="1"/>
  <c r="B62" i="5"/>
  <c r="B62" i="3"/>
  <c r="F61" i="3"/>
  <c r="H61" i="3" s="1"/>
  <c r="B63" i="5" l="1"/>
  <c r="F62" i="5"/>
  <c r="H62" i="5" s="1"/>
  <c r="F62" i="3"/>
  <c r="H62" i="3" s="1"/>
  <c r="B63" i="3"/>
  <c r="F63" i="5" l="1"/>
  <c r="H63" i="5" s="1"/>
  <c r="B64" i="5"/>
  <c r="B64" i="3"/>
  <c r="F63" i="3"/>
  <c r="H63" i="3" s="1"/>
  <c r="F64" i="5" l="1"/>
  <c r="H64" i="5" s="1"/>
  <c r="B65" i="5"/>
  <c r="B65" i="3"/>
  <c r="F64" i="3"/>
  <c r="H64" i="3" s="1"/>
  <c r="B66" i="5" l="1"/>
  <c r="F65" i="5"/>
  <c r="H65" i="5" s="1"/>
  <c r="F65" i="3"/>
  <c r="H65" i="3" s="1"/>
  <c r="B66" i="3"/>
  <c r="B67" i="5" l="1"/>
  <c r="F66" i="5"/>
  <c r="H66" i="5" s="1"/>
  <c r="B67" i="3"/>
  <c r="F66" i="3"/>
  <c r="H66" i="3" s="1"/>
  <c r="F67" i="5" l="1"/>
  <c r="H67" i="5" s="1"/>
  <c r="B68" i="5"/>
  <c r="B68" i="3"/>
  <c r="F67" i="3"/>
  <c r="H67" i="3" s="1"/>
  <c r="B69" i="5" l="1"/>
  <c r="F68" i="5"/>
  <c r="H68" i="5" s="1"/>
  <c r="F68" i="3"/>
  <c r="H68" i="3" s="1"/>
  <c r="B69" i="3"/>
  <c r="F69" i="5" l="1"/>
  <c r="H69" i="5" s="1"/>
  <c r="B70" i="5"/>
  <c r="B70" i="3"/>
  <c r="F69" i="3"/>
  <c r="H69" i="3" s="1"/>
  <c r="F70" i="5" l="1"/>
  <c r="H70" i="5" s="1"/>
  <c r="B71" i="5"/>
  <c r="B71" i="3"/>
  <c r="F70" i="3"/>
  <c r="H70" i="3" s="1"/>
  <c r="B72" i="5" l="1"/>
  <c r="F71" i="5"/>
  <c r="H71" i="5" s="1"/>
  <c r="F71" i="3"/>
  <c r="H71" i="3" s="1"/>
  <c r="B72" i="3"/>
  <c r="B73" i="5" l="1"/>
  <c r="F72" i="5"/>
  <c r="H72" i="5" s="1"/>
  <c r="B73" i="3"/>
  <c r="F72" i="3"/>
  <c r="H72" i="3" s="1"/>
  <c r="F73" i="5" l="1"/>
  <c r="H73" i="5" s="1"/>
  <c r="B74" i="5"/>
  <c r="B74" i="3"/>
  <c r="F73" i="3"/>
  <c r="H73" i="3" s="1"/>
  <c r="B75" i="5" l="1"/>
  <c r="F74" i="5"/>
  <c r="H74" i="5" s="1"/>
  <c r="F74" i="3"/>
  <c r="H74" i="3" s="1"/>
  <c r="B75" i="3"/>
  <c r="F75" i="5" l="1"/>
  <c r="H75" i="5" s="1"/>
  <c r="B76" i="5"/>
  <c r="B76" i="3"/>
  <c r="F75" i="3"/>
  <c r="H75" i="3" s="1"/>
  <c r="F76" i="5" l="1"/>
  <c r="H76" i="5" s="1"/>
  <c r="B77" i="5"/>
  <c r="B77" i="3"/>
  <c r="F76" i="3"/>
  <c r="H76" i="3" s="1"/>
  <c r="B78" i="5" l="1"/>
  <c r="F77" i="5"/>
  <c r="H77" i="5" s="1"/>
  <c r="F77" i="3"/>
  <c r="H77" i="3" s="1"/>
  <c r="B78" i="3"/>
  <c r="B79" i="5" l="1"/>
  <c r="F78" i="5"/>
  <c r="H78" i="5" s="1"/>
  <c r="B79" i="3"/>
  <c r="F78" i="3"/>
  <c r="H78" i="3" s="1"/>
  <c r="F79" i="5" l="1"/>
  <c r="H79" i="5" s="1"/>
  <c r="B80" i="5"/>
  <c r="B80" i="3"/>
  <c r="F79" i="3"/>
  <c r="H79" i="3" s="1"/>
  <c r="B81" i="5" l="1"/>
  <c r="F80" i="5"/>
  <c r="H80" i="5" s="1"/>
  <c r="F80" i="3"/>
  <c r="H80" i="3" s="1"/>
  <c r="B81" i="3"/>
  <c r="F81" i="5" l="1"/>
  <c r="H81" i="5" s="1"/>
  <c r="B82" i="5"/>
  <c r="B82" i="3"/>
  <c r="F81" i="3"/>
  <c r="H81" i="3" s="1"/>
  <c r="F82" i="5" l="1"/>
  <c r="H82" i="5" s="1"/>
  <c r="B83" i="5"/>
  <c r="B83" i="3"/>
  <c r="F82" i="3"/>
  <c r="H82" i="3" s="1"/>
  <c r="B84" i="5" l="1"/>
  <c r="F83" i="5"/>
  <c r="H83" i="5" s="1"/>
  <c r="F83" i="3"/>
  <c r="H83" i="3" s="1"/>
  <c r="B84" i="3"/>
  <c r="B85" i="5" l="1"/>
  <c r="F84" i="5"/>
  <c r="H84" i="5" s="1"/>
  <c r="B85" i="3"/>
  <c r="F84" i="3"/>
  <c r="H84" i="3" s="1"/>
  <c r="F85" i="5" l="1"/>
  <c r="H85" i="5" s="1"/>
  <c r="B86" i="5"/>
  <c r="B86" i="3"/>
  <c r="F85" i="3"/>
  <c r="H85" i="3" s="1"/>
  <c r="F86" i="5" l="1"/>
  <c r="H86" i="5" s="1"/>
  <c r="B87" i="5"/>
  <c r="F86" i="3"/>
  <c r="H86" i="3" s="1"/>
  <c r="B87" i="3"/>
  <c r="B88" i="5" l="1"/>
  <c r="F87" i="5"/>
  <c r="H87" i="5" s="1"/>
  <c r="B88" i="3"/>
  <c r="F87" i="3"/>
  <c r="H87" i="3" s="1"/>
  <c r="B89" i="5" l="1"/>
  <c r="F88" i="5"/>
  <c r="H88" i="5" s="1"/>
  <c r="B89" i="3"/>
  <c r="F88" i="3"/>
  <c r="H88" i="3" s="1"/>
  <c r="F89" i="5" l="1"/>
  <c r="H89" i="5" s="1"/>
  <c r="B90" i="5"/>
  <c r="F89" i="3"/>
  <c r="H89" i="3" s="1"/>
  <c r="B90" i="3"/>
  <c r="B91" i="5" l="1"/>
  <c r="F90" i="5"/>
  <c r="H90" i="5" s="1"/>
  <c r="B91" i="3"/>
  <c r="F90" i="3"/>
  <c r="H90" i="3" s="1"/>
  <c r="B92" i="5" l="1"/>
  <c r="F91" i="5"/>
  <c r="H91" i="5" s="1"/>
  <c r="B92" i="3"/>
  <c r="F91" i="3"/>
  <c r="H91" i="3" s="1"/>
  <c r="F92" i="5" l="1"/>
  <c r="H92" i="5" s="1"/>
  <c r="B93" i="5"/>
  <c r="F92" i="3"/>
  <c r="H92" i="3" s="1"/>
  <c r="B93" i="3"/>
  <c r="B94" i="5" l="1"/>
  <c r="F93" i="5"/>
  <c r="H93" i="5" s="1"/>
  <c r="B94" i="3"/>
  <c r="F93" i="3"/>
  <c r="H93" i="3" s="1"/>
  <c r="B95" i="5" l="1"/>
  <c r="F94" i="5"/>
  <c r="H94" i="5" s="1"/>
  <c r="B95" i="3"/>
  <c r="F94" i="3"/>
  <c r="H94" i="3" s="1"/>
  <c r="F95" i="5" l="1"/>
  <c r="H95" i="5" s="1"/>
  <c r="B96" i="5"/>
  <c r="F95" i="3"/>
  <c r="H95" i="3" s="1"/>
  <c r="B96" i="3"/>
  <c r="B97" i="5" l="1"/>
  <c r="F96" i="5"/>
  <c r="H96" i="5" s="1"/>
  <c r="B97" i="3"/>
  <c r="F96" i="3"/>
  <c r="H96" i="3" s="1"/>
  <c r="F97" i="5" l="1"/>
  <c r="H97" i="5" s="1"/>
  <c r="B98" i="5"/>
  <c r="B98" i="3"/>
  <c r="F97" i="3"/>
  <c r="H97" i="3" s="1"/>
  <c r="F98" i="5" l="1"/>
  <c r="H98" i="5" s="1"/>
  <c r="B99" i="5"/>
  <c r="F98" i="3"/>
  <c r="H98" i="3" s="1"/>
  <c r="B99" i="3"/>
  <c r="B100" i="5" l="1"/>
  <c r="F99" i="5"/>
  <c r="H99" i="5" s="1"/>
  <c r="B100" i="3"/>
  <c r="F99" i="3"/>
  <c r="H99" i="3" s="1"/>
  <c r="F100" i="5" l="1"/>
  <c r="H100" i="5" s="1"/>
  <c r="B101" i="5"/>
  <c r="B101" i="3"/>
  <c r="F100" i="3"/>
  <c r="H100" i="3" s="1"/>
  <c r="F101" i="5" l="1"/>
  <c r="H101" i="5" s="1"/>
  <c r="B102" i="5"/>
  <c r="F101" i="3"/>
  <c r="H101" i="3" s="1"/>
  <c r="B102" i="3"/>
  <c r="B103" i="5" l="1"/>
  <c r="F102" i="5"/>
  <c r="H102" i="5" s="1"/>
  <c r="B103" i="3"/>
  <c r="F102" i="3"/>
  <c r="H102" i="3" s="1"/>
  <c r="B104" i="5" l="1"/>
  <c r="F103" i="5"/>
  <c r="H103" i="5" s="1"/>
  <c r="B104" i="3"/>
  <c r="F103" i="3"/>
  <c r="H103" i="3" s="1"/>
  <c r="F104" i="5" l="1"/>
  <c r="B105" i="5"/>
  <c r="F104" i="3"/>
  <c r="B105" i="3"/>
  <c r="B106" i="5" l="1"/>
  <c r="F105" i="5"/>
  <c r="H105" i="5" s="1"/>
  <c r="H104" i="5"/>
  <c r="K5" i="5"/>
  <c r="B106" i="3"/>
  <c r="F105" i="3"/>
  <c r="H105" i="3" s="1"/>
  <c r="H104" i="3"/>
  <c r="K5" i="3"/>
  <c r="F106" i="5" l="1"/>
  <c r="H106" i="5" s="1"/>
  <c r="B107" i="5"/>
  <c r="B107" i="3"/>
  <c r="F106" i="3"/>
  <c r="H106" i="3" s="1"/>
  <c r="F107" i="5" l="1"/>
  <c r="H107" i="5" s="1"/>
  <c r="B108" i="5"/>
  <c r="F107" i="3"/>
  <c r="H107" i="3" s="1"/>
  <c r="B108" i="3"/>
  <c r="B109" i="5" l="1"/>
  <c r="F108" i="5"/>
  <c r="H108" i="5" s="1"/>
  <c r="B109" i="3"/>
  <c r="F108" i="3"/>
  <c r="H108" i="3" s="1"/>
  <c r="F109" i="5" l="1"/>
  <c r="H109" i="5" s="1"/>
  <c r="B110" i="5"/>
  <c r="B110" i="3"/>
  <c r="F109" i="3"/>
  <c r="H109" i="3" s="1"/>
  <c r="F110" i="5" l="1"/>
  <c r="H110" i="5" s="1"/>
  <c r="B111" i="5"/>
  <c r="F110" i="3"/>
  <c r="H110" i="3" s="1"/>
  <c r="B111" i="3"/>
  <c r="B112" i="5" l="1"/>
  <c r="F111" i="5"/>
  <c r="H111" i="5" s="1"/>
  <c r="B112" i="3"/>
  <c r="F111" i="3"/>
  <c r="H111" i="3" s="1"/>
  <c r="F112" i="5" l="1"/>
  <c r="H112" i="5" s="1"/>
  <c r="B113" i="5"/>
  <c r="B113" i="3"/>
  <c r="F112" i="3"/>
  <c r="H112" i="3" s="1"/>
  <c r="F113" i="5" l="1"/>
  <c r="H113" i="5" s="1"/>
  <c r="B114" i="5"/>
  <c r="F113" i="3"/>
  <c r="H113" i="3" s="1"/>
  <c r="B114" i="3"/>
  <c r="B115" i="5" l="1"/>
  <c r="F114" i="5"/>
  <c r="H114" i="5" s="1"/>
  <c r="B115" i="3"/>
  <c r="F114" i="3"/>
  <c r="H114" i="3" s="1"/>
  <c r="F115" i="5" l="1"/>
  <c r="H115" i="5" s="1"/>
  <c r="B116" i="5"/>
  <c r="B116" i="3"/>
  <c r="F115" i="3"/>
  <c r="H115" i="3" s="1"/>
  <c r="F116" i="5" l="1"/>
  <c r="H116" i="5" s="1"/>
  <c r="B117" i="5"/>
  <c r="F116" i="3"/>
  <c r="H116" i="3" s="1"/>
  <c r="B117" i="3"/>
  <c r="B118" i="5" l="1"/>
  <c r="F117" i="5"/>
  <c r="H117" i="5" s="1"/>
  <c r="B118" i="3"/>
  <c r="F117" i="3"/>
  <c r="H117" i="3" s="1"/>
  <c r="F118" i="5" l="1"/>
  <c r="H118" i="5" s="1"/>
  <c r="B119" i="5"/>
  <c r="B119" i="3"/>
  <c r="F118" i="3"/>
  <c r="H118" i="3" s="1"/>
  <c r="F119" i="5" l="1"/>
  <c r="H119" i="5" s="1"/>
  <c r="B120" i="5"/>
  <c r="F119" i="3"/>
  <c r="H119" i="3" s="1"/>
  <c r="B120" i="3"/>
  <c r="B121" i="5" l="1"/>
  <c r="F120" i="5"/>
  <c r="H120" i="5" s="1"/>
  <c r="B121" i="3"/>
  <c r="F120" i="3"/>
  <c r="H120" i="3" s="1"/>
  <c r="F121" i="5" l="1"/>
  <c r="H121" i="5" s="1"/>
  <c r="B122" i="5"/>
  <c r="B122" i="3"/>
  <c r="F121" i="3"/>
  <c r="H121" i="3" s="1"/>
  <c r="F122" i="5" l="1"/>
  <c r="H122" i="5" s="1"/>
  <c r="B123" i="5"/>
  <c r="F122" i="3"/>
  <c r="H122" i="3" s="1"/>
  <c r="B123" i="3"/>
  <c r="B124" i="5" l="1"/>
  <c r="F123" i="5"/>
  <c r="H123" i="5" s="1"/>
  <c r="B124" i="3"/>
  <c r="F123" i="3"/>
  <c r="H123" i="3" s="1"/>
  <c r="F124" i="5" l="1"/>
  <c r="H124" i="5" s="1"/>
  <c r="B125" i="5"/>
  <c r="B125" i="3"/>
  <c r="F124" i="3"/>
  <c r="H124" i="3" s="1"/>
  <c r="F125" i="5" l="1"/>
  <c r="H125" i="5" s="1"/>
  <c r="B126" i="5"/>
  <c r="F125" i="3"/>
  <c r="H125" i="3" s="1"/>
  <c r="B126" i="3"/>
  <c r="B127" i="5" l="1"/>
  <c r="F126" i="5"/>
  <c r="H126" i="5" s="1"/>
  <c r="B127" i="3"/>
  <c r="F126" i="3"/>
  <c r="H126" i="3" s="1"/>
  <c r="F127" i="5" l="1"/>
  <c r="H127" i="5" s="1"/>
  <c r="B128" i="5"/>
  <c r="B128" i="3"/>
  <c r="F127" i="3"/>
  <c r="H127" i="3" s="1"/>
  <c r="F128" i="5" l="1"/>
  <c r="H128" i="5" s="1"/>
  <c r="B129" i="5"/>
  <c r="F128" i="3"/>
  <c r="H128" i="3" s="1"/>
  <c r="B129" i="3"/>
  <c r="B130" i="5" l="1"/>
  <c r="F129" i="5"/>
  <c r="H129" i="5" s="1"/>
  <c r="B130" i="3"/>
  <c r="F129" i="3"/>
  <c r="H129" i="3" s="1"/>
  <c r="F130" i="5" l="1"/>
  <c r="H130" i="5" s="1"/>
  <c r="B131" i="5"/>
  <c r="B131" i="3"/>
  <c r="F130" i="3"/>
  <c r="H130" i="3" s="1"/>
  <c r="F131" i="5" l="1"/>
  <c r="H131" i="5" s="1"/>
  <c r="B132" i="5"/>
  <c r="F131" i="3"/>
  <c r="H131" i="3" s="1"/>
  <c r="B132" i="3"/>
  <c r="B133" i="5" l="1"/>
  <c r="F132" i="5"/>
  <c r="H132" i="5" s="1"/>
  <c r="B133" i="3"/>
  <c r="F132" i="3"/>
  <c r="H132" i="3" s="1"/>
  <c r="F133" i="5" l="1"/>
  <c r="H133" i="5" s="1"/>
  <c r="B134" i="5"/>
  <c r="B134" i="3"/>
  <c r="F133" i="3"/>
  <c r="H133" i="3" s="1"/>
  <c r="F134" i="5" l="1"/>
  <c r="H134" i="5" s="1"/>
  <c r="B135" i="5"/>
  <c r="F134" i="3"/>
  <c r="H134" i="3" s="1"/>
  <c r="B135" i="3"/>
  <c r="B136" i="5" l="1"/>
  <c r="F135" i="5"/>
  <c r="H135" i="5" s="1"/>
  <c r="B136" i="3"/>
  <c r="F135" i="3"/>
  <c r="H135" i="3" s="1"/>
  <c r="F136" i="5" l="1"/>
  <c r="H136" i="5" s="1"/>
  <c r="B137" i="5"/>
  <c r="B137" i="3"/>
  <c r="F136" i="3"/>
  <c r="H136" i="3" s="1"/>
  <c r="F137" i="5" l="1"/>
  <c r="H137" i="5" s="1"/>
  <c r="B138" i="5"/>
  <c r="F137" i="3"/>
  <c r="H137" i="3" s="1"/>
  <c r="B138" i="3"/>
  <c r="B139" i="5" l="1"/>
  <c r="F138" i="5"/>
  <c r="H138" i="5" s="1"/>
  <c r="F138" i="3"/>
  <c r="H138" i="3" s="1"/>
  <c r="B139" i="3"/>
  <c r="F139" i="5" l="1"/>
  <c r="H139" i="5" s="1"/>
  <c r="B140" i="5"/>
  <c r="B140" i="3"/>
  <c r="F139" i="3"/>
  <c r="H139" i="3" s="1"/>
  <c r="F140" i="5" l="1"/>
  <c r="H140" i="5" s="1"/>
  <c r="B141" i="5"/>
  <c r="F140" i="3"/>
  <c r="H140" i="3" s="1"/>
  <c r="B141" i="3"/>
  <c r="B142" i="5" l="1"/>
  <c r="F141" i="5"/>
  <c r="H141" i="5" s="1"/>
  <c r="B142" i="3"/>
  <c r="F141" i="3"/>
  <c r="H141" i="3" s="1"/>
  <c r="F142" i="5" l="1"/>
  <c r="H142" i="5" s="1"/>
  <c r="B143" i="5"/>
  <c r="B143" i="3"/>
  <c r="F142" i="3"/>
  <c r="H142" i="3" s="1"/>
  <c r="F143" i="5" l="1"/>
  <c r="H143" i="5" s="1"/>
  <c r="B144" i="5"/>
  <c r="F143" i="3"/>
  <c r="H143" i="3" s="1"/>
  <c r="B144" i="3"/>
  <c r="B145" i="5" l="1"/>
  <c r="F144" i="5"/>
  <c r="H144" i="5" s="1"/>
  <c r="B145" i="3"/>
  <c r="F144" i="3"/>
  <c r="H144" i="3" s="1"/>
  <c r="F145" i="5" l="1"/>
  <c r="H145" i="5" s="1"/>
  <c r="B146" i="5"/>
  <c r="B146" i="3"/>
  <c r="F145" i="3"/>
  <c r="H145" i="3" s="1"/>
  <c r="F146" i="5" l="1"/>
  <c r="H146" i="5" s="1"/>
  <c r="B147" i="5"/>
  <c r="F146" i="3"/>
  <c r="H146" i="3" s="1"/>
  <c r="B147" i="3"/>
  <c r="B148" i="5" l="1"/>
  <c r="F147" i="5"/>
  <c r="H147" i="5" s="1"/>
  <c r="B148" i="3"/>
  <c r="F147" i="3"/>
  <c r="H147" i="3" s="1"/>
  <c r="F148" i="5" l="1"/>
  <c r="H148" i="5" s="1"/>
  <c r="B149" i="5"/>
  <c r="B149" i="3"/>
  <c r="F148" i="3"/>
  <c r="H148" i="3" s="1"/>
  <c r="F149" i="5" l="1"/>
  <c r="H149" i="5" s="1"/>
  <c r="B150" i="5"/>
  <c r="F149" i="3"/>
  <c r="H149" i="3" s="1"/>
  <c r="B150" i="3"/>
  <c r="B151" i="5" l="1"/>
  <c r="F150" i="5"/>
  <c r="H150" i="5" s="1"/>
  <c r="B151" i="3"/>
  <c r="F150" i="3"/>
  <c r="H150" i="3" s="1"/>
  <c r="F151" i="5" l="1"/>
  <c r="H151" i="5" s="1"/>
  <c r="B152" i="5"/>
  <c r="B152" i="3"/>
  <c r="F151" i="3"/>
  <c r="H151" i="3" s="1"/>
  <c r="F152" i="5" l="1"/>
  <c r="H152" i="5" s="1"/>
  <c r="B153" i="5"/>
  <c r="F152" i="3"/>
  <c r="H152" i="3" s="1"/>
  <c r="B153" i="3"/>
  <c r="B154" i="5" l="1"/>
  <c r="F153" i="5"/>
  <c r="H153" i="5" s="1"/>
  <c r="B154" i="3"/>
  <c r="F153" i="3"/>
  <c r="H153" i="3" s="1"/>
  <c r="F154" i="5" l="1"/>
  <c r="H154" i="5" s="1"/>
  <c r="B155" i="5"/>
  <c r="B155" i="3"/>
  <c r="F154" i="3"/>
  <c r="H154" i="3" s="1"/>
  <c r="F155" i="5" l="1"/>
  <c r="H155" i="5" s="1"/>
  <c r="B156" i="5"/>
  <c r="F155" i="3"/>
  <c r="H155" i="3" s="1"/>
  <c r="B156" i="3"/>
  <c r="B157" i="5" l="1"/>
  <c r="F156" i="5"/>
  <c r="H156" i="5" s="1"/>
  <c r="B157" i="3"/>
  <c r="F156" i="3"/>
  <c r="H156" i="3" s="1"/>
  <c r="F157" i="5" l="1"/>
  <c r="H157" i="5" s="1"/>
  <c r="B158" i="5"/>
  <c r="B158" i="3"/>
  <c r="F157" i="3"/>
  <c r="H157" i="3" s="1"/>
  <c r="F158" i="5" l="1"/>
  <c r="H158" i="5" s="1"/>
  <c r="B159" i="5"/>
  <c r="F158" i="3"/>
  <c r="H158" i="3" s="1"/>
  <c r="B159" i="3"/>
  <c r="B160" i="5" l="1"/>
  <c r="F159" i="5"/>
  <c r="H159" i="5" s="1"/>
  <c r="B160" i="3"/>
  <c r="F159" i="3"/>
  <c r="H159" i="3" s="1"/>
  <c r="F160" i="5" l="1"/>
  <c r="H160" i="5" s="1"/>
  <c r="B161" i="5"/>
  <c r="B161" i="3"/>
  <c r="F160" i="3"/>
  <c r="H160" i="3" s="1"/>
  <c r="F161" i="5" l="1"/>
  <c r="H161" i="5" s="1"/>
  <c r="B162" i="5"/>
  <c r="F161" i="3"/>
  <c r="H161" i="3" s="1"/>
  <c r="B162" i="3"/>
  <c r="B163" i="5" l="1"/>
  <c r="F162" i="5"/>
  <c r="H162" i="5" s="1"/>
  <c r="B163" i="3"/>
  <c r="F162" i="3"/>
  <c r="H162" i="3" s="1"/>
  <c r="F163" i="5" l="1"/>
  <c r="H163" i="5" s="1"/>
  <c r="B164" i="5"/>
  <c r="B164" i="3"/>
  <c r="F163" i="3"/>
  <c r="H163" i="3" s="1"/>
  <c r="F164" i="5" l="1"/>
  <c r="H164" i="5" s="1"/>
  <c r="B165" i="5"/>
  <c r="F164" i="3"/>
  <c r="H164" i="3" s="1"/>
  <c r="B165" i="3"/>
  <c r="B166" i="5" l="1"/>
  <c r="F165" i="5"/>
  <c r="H165" i="5" s="1"/>
  <c r="B166" i="3"/>
  <c r="F165" i="3"/>
  <c r="H165" i="3" s="1"/>
  <c r="F166" i="5" l="1"/>
  <c r="H166" i="5" s="1"/>
  <c r="B167" i="5"/>
  <c r="B167" i="3"/>
  <c r="F166" i="3"/>
  <c r="H166" i="3" s="1"/>
  <c r="F167" i="5" l="1"/>
  <c r="H167" i="5" s="1"/>
  <c r="B168" i="5"/>
  <c r="F167" i="3"/>
  <c r="H167" i="3" s="1"/>
  <c r="B168" i="3"/>
  <c r="B169" i="5" l="1"/>
  <c r="F168" i="5"/>
  <c r="H168" i="5" s="1"/>
  <c r="B169" i="3"/>
  <c r="F168" i="3"/>
  <c r="H168" i="3" s="1"/>
  <c r="F169" i="5" l="1"/>
  <c r="H169" i="5" s="1"/>
  <c r="B170" i="5"/>
  <c r="B170" i="3"/>
  <c r="F169" i="3"/>
  <c r="H169" i="3" s="1"/>
  <c r="F170" i="5" l="1"/>
  <c r="H170" i="5" s="1"/>
  <c r="B171" i="5"/>
  <c r="F170" i="3"/>
  <c r="H170" i="3" s="1"/>
  <c r="B171" i="3"/>
  <c r="B172" i="5" l="1"/>
  <c r="F171" i="5"/>
  <c r="H171" i="5" s="1"/>
  <c r="B172" i="3"/>
  <c r="F171" i="3"/>
  <c r="H171" i="3" s="1"/>
  <c r="F172" i="5" l="1"/>
  <c r="H172" i="5" s="1"/>
  <c r="B173" i="5"/>
  <c r="B173" i="3"/>
  <c r="F172" i="3"/>
  <c r="H172" i="3" s="1"/>
  <c r="F173" i="5" l="1"/>
  <c r="H173" i="5" s="1"/>
  <c r="B174" i="5"/>
  <c r="F173" i="3"/>
  <c r="H173" i="3" s="1"/>
  <c r="B174" i="3"/>
  <c r="B175" i="5" l="1"/>
  <c r="F174" i="5"/>
  <c r="H174" i="5" s="1"/>
  <c r="B175" i="3"/>
  <c r="F174" i="3"/>
  <c r="H174" i="3" s="1"/>
  <c r="F175" i="5" l="1"/>
  <c r="H175" i="5" s="1"/>
  <c r="B176" i="5"/>
  <c r="F175" i="3"/>
  <c r="H175" i="3" s="1"/>
  <c r="B176" i="3"/>
  <c r="F176" i="5" l="1"/>
  <c r="H176" i="5" s="1"/>
  <c r="B177" i="5"/>
  <c r="B177" i="3"/>
  <c r="F176" i="3"/>
  <c r="H176" i="3" s="1"/>
  <c r="B178" i="5" l="1"/>
  <c r="F177" i="5"/>
  <c r="H177" i="5" s="1"/>
  <c r="B178" i="3"/>
  <c r="F177" i="3"/>
  <c r="H177" i="3" s="1"/>
  <c r="F178" i="5" l="1"/>
  <c r="H178" i="5" s="1"/>
  <c r="B179" i="5"/>
  <c r="F178" i="3"/>
  <c r="H178" i="3" s="1"/>
  <c r="B179" i="3"/>
  <c r="F179" i="5" l="1"/>
  <c r="H179" i="5" s="1"/>
  <c r="B180" i="5"/>
  <c r="B180" i="3"/>
  <c r="F179" i="3"/>
  <c r="H179" i="3" s="1"/>
  <c r="B181" i="5" l="1"/>
  <c r="F180" i="5"/>
  <c r="H180" i="5" s="1"/>
  <c r="F180" i="3"/>
  <c r="H180" i="3" s="1"/>
  <c r="B181" i="3"/>
  <c r="F181" i="5" l="1"/>
  <c r="H181" i="5" s="1"/>
  <c r="B182" i="5"/>
  <c r="F181" i="3"/>
  <c r="H181" i="3" s="1"/>
  <c r="B182" i="3"/>
  <c r="B183" i="5" l="1"/>
  <c r="F182" i="5"/>
  <c r="H182" i="5" s="1"/>
  <c r="B183" i="3"/>
  <c r="F182" i="3"/>
  <c r="H182" i="3" s="1"/>
  <c r="B184" i="5" l="1"/>
  <c r="F183" i="5"/>
  <c r="H183" i="5" s="1"/>
  <c r="B184" i="3"/>
  <c r="F183" i="3"/>
  <c r="H183" i="3" s="1"/>
  <c r="F184" i="5" l="1"/>
  <c r="H184" i="5" s="1"/>
  <c r="B185" i="5"/>
  <c r="F184" i="3"/>
  <c r="H184" i="3" s="1"/>
  <c r="B185" i="3"/>
  <c r="B186" i="5" l="1"/>
  <c r="F185" i="5"/>
  <c r="H185" i="5" s="1"/>
  <c r="B186" i="3"/>
  <c r="F185" i="3"/>
  <c r="H185" i="3" s="1"/>
  <c r="B187" i="5" l="1"/>
  <c r="F186" i="5"/>
  <c r="H186" i="5" s="1"/>
  <c r="B187" i="3"/>
  <c r="F186" i="3"/>
  <c r="H186" i="3" s="1"/>
  <c r="F187" i="5" l="1"/>
  <c r="H187" i="5" s="1"/>
  <c r="B188" i="5"/>
  <c r="F187" i="3"/>
  <c r="H187" i="3" s="1"/>
  <c r="B188" i="3"/>
  <c r="B189" i="5" l="1"/>
  <c r="F188" i="5"/>
  <c r="H188" i="5" s="1"/>
  <c r="B189" i="3"/>
  <c r="F188" i="3"/>
  <c r="H188" i="3" s="1"/>
  <c r="B190" i="5" l="1"/>
  <c r="F189" i="5"/>
  <c r="H189" i="5" s="1"/>
  <c r="F189" i="3"/>
  <c r="H189" i="3" s="1"/>
  <c r="B190" i="3"/>
  <c r="F190" i="5" l="1"/>
  <c r="H190" i="5" s="1"/>
  <c r="B191" i="5"/>
  <c r="F190" i="3"/>
  <c r="H190" i="3" s="1"/>
  <c r="B191" i="3"/>
  <c r="B192" i="5" l="1"/>
  <c r="F191" i="5"/>
  <c r="H191" i="5" s="1"/>
  <c r="B192" i="3"/>
  <c r="F191" i="3"/>
  <c r="H191" i="3" s="1"/>
  <c r="B193" i="5" l="1"/>
  <c r="F192" i="5"/>
  <c r="H192" i="5" s="1"/>
  <c r="B193" i="3"/>
  <c r="F192" i="3"/>
  <c r="H192" i="3" s="1"/>
  <c r="F193" i="5" l="1"/>
  <c r="H193" i="5" s="1"/>
  <c r="B194" i="5"/>
  <c r="F193" i="3"/>
  <c r="H193" i="3" s="1"/>
  <c r="B194" i="3"/>
  <c r="B195" i="5" l="1"/>
  <c r="F194" i="5"/>
  <c r="H194" i="5" s="1"/>
  <c r="B195" i="3"/>
  <c r="F194" i="3"/>
  <c r="H194" i="3" s="1"/>
  <c r="B196" i="5" l="1"/>
  <c r="F195" i="5"/>
  <c r="H195" i="5" s="1"/>
  <c r="B196" i="3"/>
  <c r="F195" i="3"/>
  <c r="H195" i="3" s="1"/>
  <c r="F196" i="5" l="1"/>
  <c r="H196" i="5" s="1"/>
  <c r="B197" i="5"/>
  <c r="F196" i="3"/>
  <c r="H196" i="3" s="1"/>
  <c r="B197" i="3"/>
  <c r="B198" i="5" l="1"/>
  <c r="F197" i="5"/>
  <c r="H197" i="5" s="1"/>
  <c r="B198" i="3"/>
  <c r="F197" i="3"/>
  <c r="H197" i="3" s="1"/>
  <c r="B199" i="5" l="1"/>
  <c r="F198" i="5"/>
  <c r="H198" i="5" s="1"/>
  <c r="F198" i="3"/>
  <c r="H198" i="3" s="1"/>
  <c r="B199" i="3"/>
  <c r="F199" i="5" l="1"/>
  <c r="H199" i="5" s="1"/>
  <c r="B200" i="5"/>
  <c r="F199" i="3"/>
  <c r="H199" i="3" s="1"/>
  <c r="B200" i="3"/>
  <c r="B201" i="5" l="1"/>
  <c r="F200" i="5"/>
  <c r="H200" i="5" s="1"/>
  <c r="B201" i="3"/>
  <c r="F200" i="3"/>
  <c r="H200" i="3" s="1"/>
  <c r="B202" i="5" l="1"/>
  <c r="F201" i="5"/>
  <c r="H201" i="5" s="1"/>
  <c r="B202" i="3"/>
  <c r="F201" i="3"/>
  <c r="H201" i="3" s="1"/>
  <c r="F202" i="5" l="1"/>
  <c r="H202" i="5" s="1"/>
  <c r="B203" i="5"/>
  <c r="F202" i="3"/>
  <c r="H202" i="3" s="1"/>
  <c r="B203" i="3"/>
  <c r="B204" i="5" l="1"/>
  <c r="F203" i="5"/>
  <c r="H203" i="5" s="1"/>
  <c r="B204" i="3"/>
  <c r="F203" i="3"/>
  <c r="H203" i="3" s="1"/>
  <c r="B205" i="5" l="1"/>
  <c r="F204" i="5"/>
  <c r="H204" i="5" s="1"/>
  <c r="B205" i="3"/>
  <c r="F204" i="3"/>
  <c r="F205" i="5" l="1"/>
  <c r="H205" i="5" s="1"/>
  <c r="B206" i="5"/>
  <c r="H204" i="3"/>
  <c r="F205" i="3"/>
  <c r="H205" i="3" s="1"/>
  <c r="B206" i="3"/>
  <c r="B207" i="5" l="1"/>
  <c r="F206" i="5"/>
  <c r="H206" i="5" s="1"/>
  <c r="B207" i="3"/>
  <c r="F206" i="3"/>
  <c r="H206" i="3" s="1"/>
  <c r="B208" i="5" l="1"/>
  <c r="F207" i="5"/>
  <c r="H207" i="5" s="1"/>
  <c r="B208" i="3"/>
  <c r="F207" i="3"/>
  <c r="H207" i="3" s="1"/>
  <c r="F208" i="5" l="1"/>
  <c r="H208" i="5" s="1"/>
  <c r="B209" i="5"/>
  <c r="F208" i="3"/>
  <c r="H208" i="3" s="1"/>
  <c r="B209" i="3"/>
  <c r="B210" i="5" l="1"/>
  <c r="F209" i="5"/>
  <c r="H209" i="5" s="1"/>
  <c r="B210" i="3"/>
  <c r="F209" i="3"/>
  <c r="H209" i="3" s="1"/>
  <c r="B211" i="5" l="1"/>
  <c r="F210" i="5"/>
  <c r="H210" i="5" s="1"/>
  <c r="B211" i="3"/>
  <c r="F210" i="3"/>
  <c r="H210" i="3" s="1"/>
  <c r="F211" i="5" l="1"/>
  <c r="H211" i="5" s="1"/>
  <c r="B212" i="5"/>
  <c r="F211" i="3"/>
  <c r="H211" i="3" s="1"/>
  <c r="B212" i="3"/>
  <c r="B213" i="5" l="1"/>
  <c r="F212" i="5"/>
  <c r="H212" i="5" s="1"/>
  <c r="B213" i="3"/>
  <c r="F212" i="3"/>
  <c r="H212" i="3" s="1"/>
  <c r="B214" i="5" l="1"/>
  <c r="F213" i="5"/>
  <c r="H213" i="5" s="1"/>
  <c r="B214" i="3"/>
  <c r="F213" i="3"/>
  <c r="H213" i="3" s="1"/>
  <c r="F214" i="5" l="1"/>
  <c r="H214" i="5" s="1"/>
  <c r="B215" i="5"/>
  <c r="F214" i="3"/>
  <c r="H214" i="3" s="1"/>
  <c r="B215" i="3"/>
  <c r="B216" i="5" l="1"/>
  <c r="F215" i="5"/>
  <c r="H215" i="5" s="1"/>
  <c r="B216" i="3"/>
  <c r="F215" i="3"/>
  <c r="H215" i="3" s="1"/>
  <c r="B217" i="5" l="1"/>
  <c r="F216" i="5"/>
  <c r="H216" i="5" s="1"/>
  <c r="B217" i="3"/>
  <c r="F216" i="3"/>
  <c r="H216" i="3" s="1"/>
  <c r="F217" i="5" l="1"/>
  <c r="H217" i="5" s="1"/>
  <c r="B218" i="5"/>
  <c r="F217" i="3"/>
  <c r="H217" i="3" s="1"/>
  <c r="B218" i="3"/>
  <c r="B219" i="5" l="1"/>
  <c r="F218" i="5"/>
  <c r="H218" i="5" s="1"/>
  <c r="B219" i="3"/>
  <c r="F218" i="3"/>
  <c r="H218" i="3" s="1"/>
  <c r="B220" i="5" l="1"/>
  <c r="F219" i="5"/>
  <c r="H219" i="5" s="1"/>
  <c r="B220" i="3"/>
  <c r="F219" i="3"/>
  <c r="H219" i="3" s="1"/>
  <c r="F220" i="5" l="1"/>
  <c r="H220" i="5" s="1"/>
  <c r="B221" i="5"/>
  <c r="B221" i="3"/>
  <c r="F220" i="3"/>
  <c r="H220" i="3" s="1"/>
  <c r="B222" i="5" l="1"/>
  <c r="F221" i="5"/>
  <c r="H221" i="5" s="1"/>
  <c r="F221" i="3"/>
  <c r="H221" i="3" s="1"/>
  <c r="B222" i="3"/>
  <c r="B223" i="5" l="1"/>
  <c r="F222" i="5"/>
  <c r="H222" i="5" s="1"/>
  <c r="F222" i="3"/>
  <c r="H222" i="3" s="1"/>
  <c r="B223" i="3"/>
  <c r="F223" i="5" l="1"/>
  <c r="H223" i="5" s="1"/>
  <c r="B224" i="5"/>
  <c r="B224" i="3"/>
  <c r="F223" i="3"/>
  <c r="H223" i="3" s="1"/>
  <c r="B225" i="5" l="1"/>
  <c r="F224" i="5"/>
  <c r="H224" i="5" s="1"/>
  <c r="B225" i="3"/>
  <c r="F224" i="3"/>
  <c r="H224" i="3" s="1"/>
  <c r="B226" i="5" l="1"/>
  <c r="F225" i="5"/>
  <c r="H225" i="5" s="1"/>
  <c r="F225" i="3"/>
  <c r="H225" i="3" s="1"/>
  <c r="B226" i="3"/>
  <c r="F226" i="5" l="1"/>
  <c r="H226" i="5" s="1"/>
  <c r="B227" i="5"/>
  <c r="B227" i="3"/>
  <c r="F226" i="3"/>
  <c r="H226" i="3" s="1"/>
  <c r="B228" i="5" l="1"/>
  <c r="F227" i="5"/>
  <c r="H227" i="5" s="1"/>
  <c r="F227" i="3"/>
  <c r="H227" i="3" s="1"/>
  <c r="B228" i="3"/>
  <c r="B229" i="5" l="1"/>
  <c r="F228" i="5"/>
  <c r="H228" i="5" s="1"/>
  <c r="F228" i="3"/>
  <c r="H228" i="3" s="1"/>
  <c r="B229" i="3"/>
  <c r="F229" i="5" l="1"/>
  <c r="H229" i="5" s="1"/>
  <c r="B230" i="5"/>
  <c r="B230" i="3"/>
  <c r="F229" i="3"/>
  <c r="H229" i="3" s="1"/>
  <c r="B231" i="5" l="1"/>
  <c r="F230" i="5"/>
  <c r="H230" i="5" s="1"/>
  <c r="F230" i="3"/>
  <c r="H230" i="3" s="1"/>
  <c r="B231" i="3"/>
  <c r="B232" i="5" l="1"/>
  <c r="F231" i="5"/>
  <c r="H231" i="5" s="1"/>
  <c r="F231" i="3"/>
  <c r="H231" i="3" s="1"/>
  <c r="B232" i="3"/>
  <c r="F232" i="5" l="1"/>
  <c r="H232" i="5" s="1"/>
  <c r="B233" i="5"/>
  <c r="B233" i="3"/>
  <c r="F232" i="3"/>
  <c r="H232" i="3" s="1"/>
  <c r="B234" i="5" l="1"/>
  <c r="F233" i="5"/>
  <c r="H233" i="5" s="1"/>
  <c r="B234" i="3"/>
  <c r="F233" i="3"/>
  <c r="H233" i="3" s="1"/>
  <c r="B235" i="5" l="1"/>
  <c r="F234" i="5"/>
  <c r="H234" i="5" s="1"/>
  <c r="F234" i="3"/>
  <c r="H234" i="3" s="1"/>
  <c r="B235" i="3"/>
  <c r="F235" i="5" l="1"/>
  <c r="H235" i="5" s="1"/>
  <c r="B236" i="5"/>
  <c r="B236" i="3"/>
  <c r="F235" i="3"/>
  <c r="H235" i="3" s="1"/>
  <c r="B237" i="5" l="1"/>
  <c r="F236" i="5"/>
  <c r="H236" i="5" s="1"/>
  <c r="F236" i="3"/>
  <c r="H236" i="3" s="1"/>
  <c r="B237" i="3"/>
  <c r="B238" i="5" l="1"/>
  <c r="F237" i="5"/>
  <c r="H237" i="5" s="1"/>
  <c r="F237" i="3"/>
  <c r="H237" i="3" s="1"/>
  <c r="B238" i="3"/>
  <c r="F238" i="5" l="1"/>
  <c r="H238" i="5" s="1"/>
  <c r="B239" i="5"/>
  <c r="B239" i="3"/>
  <c r="F238" i="3"/>
  <c r="H238" i="3" s="1"/>
  <c r="B240" i="5" l="1"/>
  <c r="F239" i="5"/>
  <c r="H239" i="5" s="1"/>
  <c r="F239" i="3"/>
  <c r="H239" i="3" s="1"/>
  <c r="B240" i="3"/>
  <c r="B241" i="5" l="1"/>
  <c r="F240" i="5"/>
  <c r="H240" i="5" s="1"/>
  <c r="F240" i="3"/>
  <c r="H240" i="3" s="1"/>
  <c r="B241" i="3"/>
  <c r="F241" i="5" l="1"/>
  <c r="H241" i="5" s="1"/>
  <c r="B242" i="5"/>
  <c r="B242" i="3"/>
  <c r="F241" i="3"/>
  <c r="H241" i="3" s="1"/>
  <c r="B243" i="5" l="1"/>
  <c r="F242" i="5"/>
  <c r="H242" i="5" s="1"/>
  <c r="B243" i="3"/>
  <c r="F242" i="3"/>
  <c r="H242" i="3" s="1"/>
  <c r="B244" i="5" l="1"/>
  <c r="F243" i="5"/>
  <c r="H243" i="5" s="1"/>
  <c r="F243" i="3"/>
  <c r="H243" i="3" s="1"/>
  <c r="B244" i="3"/>
  <c r="F244" i="5" l="1"/>
  <c r="H244" i="5" s="1"/>
  <c r="B245" i="5"/>
  <c r="B245" i="3"/>
  <c r="F244" i="3"/>
  <c r="H244" i="3" s="1"/>
  <c r="B246" i="5" l="1"/>
  <c r="F245" i="5"/>
  <c r="H245" i="5" s="1"/>
  <c r="F245" i="3"/>
  <c r="H245" i="3" s="1"/>
  <c r="B246" i="3"/>
  <c r="B247" i="5" l="1"/>
  <c r="F246" i="5"/>
  <c r="H246" i="5" s="1"/>
  <c r="F246" i="3"/>
  <c r="H246" i="3" s="1"/>
  <c r="B247" i="3"/>
  <c r="F247" i="5" l="1"/>
  <c r="H247" i="5" s="1"/>
  <c r="B248" i="5"/>
  <c r="B248" i="3"/>
  <c r="F247" i="3"/>
  <c r="H247" i="3" s="1"/>
  <c r="B249" i="5" l="1"/>
  <c r="F248" i="5"/>
  <c r="H248" i="5" s="1"/>
  <c r="F248" i="3"/>
  <c r="H248" i="3" s="1"/>
  <c r="B249" i="3"/>
  <c r="B250" i="5" l="1"/>
  <c r="F249" i="5"/>
  <c r="H249" i="5" s="1"/>
  <c r="F249" i="3"/>
  <c r="H249" i="3" s="1"/>
  <c r="B250" i="3"/>
  <c r="F250" i="5" l="1"/>
  <c r="H250" i="5" s="1"/>
  <c r="B251" i="5"/>
  <c r="B251" i="3"/>
  <c r="F250" i="3"/>
  <c r="H250" i="3" s="1"/>
  <c r="B252" i="5" l="1"/>
  <c r="F251" i="5"/>
  <c r="H251" i="5" s="1"/>
  <c r="B252" i="3"/>
  <c r="F251" i="3"/>
  <c r="H251" i="3" s="1"/>
  <c r="B253" i="5" l="1"/>
  <c r="F252" i="5"/>
  <c r="H252" i="5" s="1"/>
  <c r="F252" i="3"/>
  <c r="H252" i="3" s="1"/>
  <c r="B253" i="3"/>
  <c r="F253" i="5" l="1"/>
  <c r="H253" i="5" s="1"/>
  <c r="B254" i="5"/>
  <c r="B254" i="3"/>
  <c r="F253" i="3"/>
  <c r="H253" i="3" s="1"/>
  <c r="B255" i="5" l="1"/>
  <c r="F254" i="5"/>
  <c r="H254" i="5" s="1"/>
  <c r="F254" i="3"/>
  <c r="H254" i="3" s="1"/>
  <c r="B255" i="3"/>
  <c r="B256" i="5" l="1"/>
  <c r="F255" i="5"/>
  <c r="H255" i="5" s="1"/>
  <c r="F255" i="3"/>
  <c r="H255" i="3" s="1"/>
  <c r="B256" i="3"/>
  <c r="F256" i="5" l="1"/>
  <c r="H256" i="5" s="1"/>
  <c r="B257" i="5"/>
  <c r="B257" i="3"/>
  <c r="F256" i="3"/>
  <c r="H256" i="3" s="1"/>
  <c r="B258" i="5" l="1"/>
  <c r="F257" i="5"/>
  <c r="H257" i="5" s="1"/>
  <c r="B258" i="3"/>
  <c r="F257" i="3"/>
  <c r="H257" i="3" s="1"/>
  <c r="B259" i="5" l="1"/>
  <c r="F258" i="5"/>
  <c r="H258" i="5" s="1"/>
  <c r="F258" i="3"/>
  <c r="H258" i="3" s="1"/>
  <c r="B259" i="3"/>
  <c r="F259" i="5" l="1"/>
  <c r="H259" i="5" s="1"/>
  <c r="B260" i="5"/>
  <c r="B260" i="3"/>
  <c r="F259" i="3"/>
  <c r="H259" i="3" s="1"/>
  <c r="B261" i="5" l="1"/>
  <c r="F260" i="5"/>
  <c r="H260" i="5" s="1"/>
  <c r="F260" i="3"/>
  <c r="H260" i="3" s="1"/>
  <c r="B261" i="3"/>
  <c r="B262" i="5" l="1"/>
  <c r="F261" i="5"/>
  <c r="H261" i="5" s="1"/>
  <c r="F261" i="3"/>
  <c r="H261" i="3" s="1"/>
  <c r="B262" i="3"/>
  <c r="F262" i="5" l="1"/>
  <c r="H262" i="5" s="1"/>
  <c r="B263" i="5"/>
  <c r="B263" i="3"/>
  <c r="F262" i="3"/>
  <c r="H262" i="3" s="1"/>
  <c r="B264" i="5" l="1"/>
  <c r="F263" i="5"/>
  <c r="H263" i="5" s="1"/>
  <c r="F263" i="3"/>
  <c r="H263" i="3" s="1"/>
  <c r="B264" i="3"/>
  <c r="B265" i="5" l="1"/>
  <c r="F264" i="5"/>
  <c r="H264" i="5" s="1"/>
  <c r="F264" i="3"/>
  <c r="H264" i="3" s="1"/>
  <c r="B265" i="3"/>
  <c r="F265" i="5" l="1"/>
  <c r="H265" i="5" s="1"/>
  <c r="B266" i="5"/>
  <c r="B266" i="3"/>
  <c r="F265" i="3"/>
  <c r="H265" i="3" s="1"/>
  <c r="B267" i="5" l="1"/>
  <c r="F266" i="5"/>
  <c r="H266" i="5" s="1"/>
  <c r="B267" i="3"/>
  <c r="F266" i="3"/>
  <c r="H266" i="3" s="1"/>
  <c r="B268" i="5" l="1"/>
  <c r="F267" i="5"/>
  <c r="H267" i="5" s="1"/>
  <c r="F267" i="3"/>
  <c r="H267" i="3" s="1"/>
  <c r="B268" i="3"/>
  <c r="F268" i="5" l="1"/>
  <c r="H268" i="5" s="1"/>
  <c r="B269" i="5"/>
  <c r="B269" i="3"/>
  <c r="F268" i="3"/>
  <c r="H268" i="3" s="1"/>
  <c r="B270" i="5" l="1"/>
  <c r="F269" i="5"/>
  <c r="H269" i="5" s="1"/>
  <c r="F269" i="3"/>
  <c r="H269" i="3" s="1"/>
  <c r="B270" i="3"/>
  <c r="B271" i="5" l="1"/>
  <c r="F270" i="5"/>
  <c r="H270" i="5" s="1"/>
  <c r="F270" i="3"/>
  <c r="H270" i="3" s="1"/>
  <c r="B271" i="3"/>
  <c r="F271" i="5" l="1"/>
  <c r="H271" i="5" s="1"/>
  <c r="B272" i="5"/>
  <c r="B272" i="3"/>
  <c r="F271" i="3"/>
  <c r="H271" i="3" s="1"/>
  <c r="B273" i="5" l="1"/>
  <c r="F272" i="5"/>
  <c r="H272" i="5" s="1"/>
  <c r="F272" i="3"/>
  <c r="H272" i="3" s="1"/>
  <c r="B273" i="3"/>
  <c r="B274" i="5" l="1"/>
  <c r="F273" i="5"/>
  <c r="H273" i="5" s="1"/>
  <c r="F273" i="3"/>
  <c r="H273" i="3" s="1"/>
  <c r="B274" i="3"/>
  <c r="F274" i="5" l="1"/>
  <c r="H274" i="5" s="1"/>
  <c r="B275" i="5"/>
  <c r="B275" i="3"/>
  <c r="F274" i="3"/>
  <c r="H274" i="3" s="1"/>
  <c r="B276" i="5" l="1"/>
  <c r="F275" i="5"/>
  <c r="H275" i="5" s="1"/>
  <c r="B276" i="3"/>
  <c r="F275" i="3"/>
  <c r="H275" i="3" s="1"/>
  <c r="B277" i="5" l="1"/>
  <c r="F276" i="5"/>
  <c r="H276" i="5" s="1"/>
  <c r="F276" i="3"/>
  <c r="H276" i="3" s="1"/>
  <c r="B277" i="3"/>
  <c r="F277" i="5" l="1"/>
  <c r="H277" i="5" s="1"/>
  <c r="B278" i="5"/>
  <c r="B278" i="3"/>
  <c r="F277" i="3"/>
  <c r="H277" i="3" s="1"/>
  <c r="B279" i="5" l="1"/>
  <c r="F278" i="5"/>
  <c r="H278" i="5" s="1"/>
  <c r="F278" i="3"/>
  <c r="H278" i="3" s="1"/>
  <c r="B279" i="3"/>
  <c r="B280" i="5" l="1"/>
  <c r="F279" i="5"/>
  <c r="H279" i="5" s="1"/>
  <c r="F279" i="3"/>
  <c r="H279" i="3" s="1"/>
  <c r="B280" i="3"/>
  <c r="F280" i="5" l="1"/>
  <c r="H280" i="5" s="1"/>
  <c r="B281" i="5"/>
  <c r="B281" i="3"/>
  <c r="F280" i="3"/>
  <c r="H280" i="3" s="1"/>
  <c r="B282" i="5" l="1"/>
  <c r="F281" i="5"/>
  <c r="H281" i="5" s="1"/>
  <c r="F281" i="3"/>
  <c r="H281" i="3" s="1"/>
  <c r="B282" i="3"/>
  <c r="B283" i="5" l="1"/>
  <c r="F282" i="5"/>
  <c r="H282" i="5" s="1"/>
  <c r="F282" i="3"/>
  <c r="H282" i="3" s="1"/>
  <c r="B283" i="3"/>
  <c r="F283" i="5" l="1"/>
  <c r="H283" i="5" s="1"/>
  <c r="B284" i="5"/>
  <c r="B284" i="3"/>
  <c r="F283" i="3"/>
  <c r="H283" i="3" s="1"/>
  <c r="B285" i="5" l="1"/>
  <c r="F284" i="5"/>
  <c r="H284" i="5" s="1"/>
  <c r="B285" i="3"/>
  <c r="F284" i="3"/>
  <c r="H284" i="3" s="1"/>
  <c r="B286" i="5" l="1"/>
  <c r="F285" i="5"/>
  <c r="H285" i="5" s="1"/>
  <c r="F285" i="3"/>
  <c r="H285" i="3" s="1"/>
  <c r="B286" i="3"/>
  <c r="F286" i="5" l="1"/>
  <c r="H286" i="5" s="1"/>
  <c r="B287" i="5"/>
  <c r="B287" i="3"/>
  <c r="F286" i="3"/>
  <c r="H286" i="3" s="1"/>
  <c r="B288" i="5" l="1"/>
  <c r="F287" i="5"/>
  <c r="H287" i="5" s="1"/>
  <c r="F287" i="3"/>
  <c r="H287" i="3" s="1"/>
  <c r="B288" i="3"/>
  <c r="B289" i="5" l="1"/>
  <c r="F288" i="5"/>
  <c r="H288" i="5" s="1"/>
  <c r="F288" i="3"/>
  <c r="H288" i="3" s="1"/>
  <c r="B289" i="3"/>
  <c r="F289" i="5" l="1"/>
  <c r="H289" i="5" s="1"/>
  <c r="B290" i="5"/>
  <c r="B290" i="3"/>
  <c r="F289" i="3"/>
  <c r="H289" i="3" s="1"/>
  <c r="B291" i="5" l="1"/>
  <c r="F290" i="5"/>
  <c r="H290" i="5" s="1"/>
  <c r="F290" i="3"/>
  <c r="H290" i="3" s="1"/>
  <c r="B291" i="3"/>
  <c r="B292" i="5" l="1"/>
  <c r="F291" i="5"/>
  <c r="H291" i="5" s="1"/>
  <c r="F291" i="3"/>
  <c r="H291" i="3" s="1"/>
  <c r="B292" i="3"/>
  <c r="F292" i="5" l="1"/>
  <c r="H292" i="5" s="1"/>
  <c r="B293" i="5"/>
  <c r="B293" i="3"/>
  <c r="F292" i="3"/>
  <c r="H292" i="3" s="1"/>
  <c r="B294" i="5" l="1"/>
  <c r="F293" i="5"/>
  <c r="H293" i="5" s="1"/>
  <c r="B294" i="3"/>
  <c r="F293" i="3"/>
  <c r="H293" i="3" s="1"/>
  <c r="B295" i="5" l="1"/>
  <c r="F294" i="5"/>
  <c r="H294" i="5" s="1"/>
  <c r="B295" i="3"/>
  <c r="F294" i="3"/>
  <c r="H294" i="3" s="1"/>
  <c r="F295" i="5" l="1"/>
  <c r="H295" i="5" s="1"/>
  <c r="B296" i="5"/>
  <c r="F295" i="3"/>
  <c r="H295" i="3" s="1"/>
  <c r="B296" i="3"/>
  <c r="B297" i="5" l="1"/>
  <c r="F296" i="5"/>
  <c r="H296" i="5" s="1"/>
  <c r="F296" i="3"/>
  <c r="H296" i="3" s="1"/>
  <c r="B297" i="3"/>
  <c r="B298" i="5" l="1"/>
  <c r="F297" i="5"/>
  <c r="H297" i="5" s="1"/>
  <c r="B298" i="3"/>
  <c r="F297" i="3"/>
  <c r="H297" i="3" s="1"/>
  <c r="F298" i="5" l="1"/>
  <c r="H298" i="5" s="1"/>
  <c r="B299" i="5"/>
  <c r="B299" i="3"/>
  <c r="F298" i="3"/>
  <c r="H298" i="3" s="1"/>
  <c r="B300" i="5" l="1"/>
  <c r="F299" i="5"/>
  <c r="H299" i="5" s="1"/>
  <c r="F299" i="3"/>
  <c r="H299" i="3" s="1"/>
  <c r="B300" i="3"/>
  <c r="B301" i="5" l="1"/>
  <c r="F300" i="5"/>
  <c r="H300" i="5" s="1"/>
  <c r="B301" i="3"/>
  <c r="F300" i="3"/>
  <c r="H300" i="3" s="1"/>
  <c r="F301" i="5" l="1"/>
  <c r="H301" i="5" s="1"/>
  <c r="B302" i="5"/>
  <c r="B302" i="3"/>
  <c r="F301" i="3"/>
  <c r="H301" i="3" s="1"/>
  <c r="B303" i="5" l="1"/>
  <c r="F302" i="5"/>
  <c r="H302" i="5" s="1"/>
  <c r="F302" i="3"/>
  <c r="H302" i="3" s="1"/>
  <c r="B303" i="3"/>
  <c r="B304" i="5" l="1"/>
  <c r="F303" i="5"/>
  <c r="H303" i="5" s="1"/>
  <c r="B304" i="3"/>
  <c r="F303" i="3"/>
  <c r="H303" i="3" s="1"/>
  <c r="F304" i="5" l="1"/>
  <c r="H304" i="5" s="1"/>
  <c r="B305" i="5"/>
  <c r="F304" i="3"/>
  <c r="H304" i="3" s="1"/>
  <c r="B305" i="3"/>
  <c r="B306" i="5" l="1"/>
  <c r="F305" i="5"/>
  <c r="H305" i="5" s="1"/>
  <c r="F305" i="3"/>
  <c r="H305" i="3" s="1"/>
  <c r="B306" i="3"/>
  <c r="B307" i="5" l="1"/>
  <c r="F306" i="5"/>
  <c r="H306" i="5" s="1"/>
  <c r="B307" i="3"/>
  <c r="F306" i="3"/>
  <c r="H306" i="3" s="1"/>
  <c r="F307" i="5" l="1"/>
  <c r="H307" i="5" s="1"/>
  <c r="B308" i="5"/>
  <c r="B308" i="3"/>
  <c r="F307" i="3"/>
  <c r="H307" i="3" s="1"/>
  <c r="B309" i="5" l="1"/>
  <c r="F308" i="5"/>
  <c r="H308" i="5" s="1"/>
  <c r="F308" i="3"/>
  <c r="H308" i="3" s="1"/>
  <c r="B309" i="3"/>
  <c r="B310" i="5" l="1"/>
  <c r="F309" i="5"/>
  <c r="H309" i="5" s="1"/>
  <c r="B310" i="3"/>
  <c r="F309" i="3"/>
  <c r="H309" i="3" s="1"/>
  <c r="F310" i="5" l="1"/>
  <c r="H310" i="5" s="1"/>
  <c r="B311" i="5"/>
  <c r="F310" i="3"/>
  <c r="H310" i="3" s="1"/>
  <c r="B311" i="3"/>
  <c r="B312" i="5" l="1"/>
  <c r="F311" i="5"/>
  <c r="H311" i="5" s="1"/>
  <c r="F311" i="3"/>
  <c r="H311" i="3" s="1"/>
  <c r="B312" i="3"/>
  <c r="B313" i="5" l="1"/>
  <c r="F312" i="5"/>
  <c r="H312" i="5" s="1"/>
  <c r="B313" i="3"/>
  <c r="F312" i="3"/>
  <c r="H312" i="3" s="1"/>
  <c r="F313" i="5" l="1"/>
  <c r="H313" i="5" s="1"/>
  <c r="B314" i="5"/>
  <c r="F313" i="3"/>
  <c r="H313" i="3" s="1"/>
  <c r="B314" i="3"/>
  <c r="B315" i="5" l="1"/>
  <c r="F314" i="5"/>
  <c r="H314" i="5" s="1"/>
  <c r="F314" i="3"/>
  <c r="H314" i="3" s="1"/>
  <c r="B315" i="3"/>
  <c r="B316" i="5" l="1"/>
  <c r="F315" i="5"/>
  <c r="H315" i="5" s="1"/>
  <c r="B316" i="3"/>
  <c r="F315" i="3"/>
  <c r="H315" i="3" s="1"/>
  <c r="F316" i="5" l="1"/>
  <c r="H316" i="5" s="1"/>
  <c r="B317" i="5"/>
  <c r="B317" i="3"/>
  <c r="F316" i="3"/>
  <c r="H316" i="3" s="1"/>
  <c r="B318" i="5" l="1"/>
  <c r="F317" i="5"/>
  <c r="H317" i="5" s="1"/>
  <c r="F317" i="3"/>
  <c r="H317" i="3" s="1"/>
  <c r="B318" i="3"/>
  <c r="B319" i="5" l="1"/>
  <c r="F318" i="5"/>
  <c r="H318" i="5" s="1"/>
  <c r="B319" i="3"/>
  <c r="F318" i="3"/>
  <c r="H318" i="3" s="1"/>
  <c r="F319" i="5" l="1"/>
  <c r="H319" i="5" s="1"/>
  <c r="B320" i="5"/>
  <c r="F319" i="3"/>
  <c r="H319" i="3" s="1"/>
  <c r="B320" i="3"/>
  <c r="B321" i="5" l="1"/>
  <c r="F320" i="5"/>
  <c r="H320" i="5" s="1"/>
  <c r="F320" i="3"/>
  <c r="H320" i="3" s="1"/>
  <c r="B321" i="3"/>
  <c r="B322" i="5" l="1"/>
  <c r="F321" i="5"/>
  <c r="H321" i="5" s="1"/>
  <c r="B322" i="3"/>
  <c r="F321" i="3"/>
  <c r="H321" i="3" s="1"/>
  <c r="F322" i="5" l="1"/>
  <c r="H322" i="5" s="1"/>
  <c r="B323" i="5"/>
  <c r="B323" i="3"/>
  <c r="F322" i="3"/>
  <c r="H322" i="3" s="1"/>
  <c r="B324" i="5" l="1"/>
  <c r="F323" i="5"/>
  <c r="H323" i="5" s="1"/>
  <c r="F323" i="3"/>
  <c r="H323" i="3" s="1"/>
  <c r="B324" i="3"/>
  <c r="B325" i="5" l="1"/>
  <c r="F324" i="5"/>
  <c r="H324" i="5" s="1"/>
  <c r="B325" i="3"/>
  <c r="F324" i="3"/>
  <c r="H324" i="3" s="1"/>
  <c r="F325" i="5" l="1"/>
  <c r="H325" i="5" s="1"/>
  <c r="B326" i="5"/>
  <c r="B326" i="3"/>
  <c r="F325" i="3"/>
  <c r="H325" i="3" s="1"/>
  <c r="B327" i="5" l="1"/>
  <c r="F326" i="5"/>
  <c r="H326" i="5" s="1"/>
  <c r="F326" i="3"/>
  <c r="H326" i="3" s="1"/>
  <c r="B327" i="3"/>
  <c r="B328" i="5" l="1"/>
  <c r="F327" i="5"/>
  <c r="H327" i="5" s="1"/>
  <c r="B328" i="3"/>
  <c r="F327" i="3"/>
  <c r="H327" i="3" s="1"/>
  <c r="F328" i="5" l="1"/>
  <c r="H328" i="5" s="1"/>
  <c r="B329" i="5"/>
  <c r="F328" i="3"/>
  <c r="H328" i="3" s="1"/>
  <c r="B329" i="3"/>
  <c r="B330" i="5" l="1"/>
  <c r="F329" i="5"/>
  <c r="H329" i="5" s="1"/>
  <c r="F329" i="3"/>
  <c r="H329" i="3" s="1"/>
  <c r="B330" i="3"/>
  <c r="B331" i="5" l="1"/>
  <c r="F330" i="5"/>
  <c r="H330" i="5" s="1"/>
  <c r="B331" i="3"/>
  <c r="F330" i="3"/>
  <c r="H330" i="3" s="1"/>
  <c r="F331" i="5" l="1"/>
  <c r="H331" i="5" s="1"/>
  <c r="B332" i="5"/>
  <c r="B332" i="3"/>
  <c r="F331" i="3"/>
  <c r="H331" i="3" s="1"/>
  <c r="B333" i="5" l="1"/>
  <c r="F332" i="5"/>
  <c r="H332" i="5" s="1"/>
  <c r="F332" i="3"/>
  <c r="H332" i="3" s="1"/>
  <c r="B333" i="3"/>
  <c r="B334" i="5" l="1"/>
  <c r="F333" i="5"/>
  <c r="H333" i="5" s="1"/>
  <c r="B334" i="3"/>
  <c r="F333" i="3"/>
  <c r="H333" i="3" s="1"/>
  <c r="F334" i="5" l="1"/>
  <c r="H334" i="5" s="1"/>
  <c r="B335" i="5"/>
  <c r="B335" i="3"/>
  <c r="F334" i="3"/>
  <c r="H334" i="3" s="1"/>
  <c r="B336" i="5" l="1"/>
  <c r="F335" i="5"/>
  <c r="H335" i="5" s="1"/>
  <c r="F335" i="3"/>
  <c r="H335" i="3" s="1"/>
  <c r="B336" i="3"/>
  <c r="F336" i="5" l="1"/>
  <c r="H336" i="5" s="1"/>
  <c r="B337" i="5"/>
  <c r="B337" i="3"/>
  <c r="F336" i="3"/>
  <c r="H336" i="3" s="1"/>
  <c r="B338" i="5" l="1"/>
  <c r="F337" i="5"/>
  <c r="H337" i="5" s="1"/>
  <c r="F337" i="3"/>
  <c r="H337" i="3" s="1"/>
  <c r="B338" i="3"/>
  <c r="B339" i="5" l="1"/>
  <c r="F338" i="5"/>
  <c r="H338" i="5" s="1"/>
  <c r="F338" i="3"/>
  <c r="H338" i="3" s="1"/>
  <c r="B339" i="3"/>
  <c r="F339" i="5" l="1"/>
  <c r="H339" i="5" s="1"/>
  <c r="B340" i="5"/>
  <c r="B340" i="3"/>
  <c r="F339" i="3"/>
  <c r="H339" i="3" s="1"/>
  <c r="B341" i="5" l="1"/>
  <c r="F340" i="5"/>
  <c r="H340" i="5" s="1"/>
  <c r="B341" i="3"/>
  <c r="F340" i="3"/>
  <c r="H340" i="3" s="1"/>
  <c r="F341" i="5" l="1"/>
  <c r="H341" i="5" s="1"/>
  <c r="B342" i="5"/>
  <c r="F341" i="3"/>
  <c r="H341" i="3" s="1"/>
  <c r="B342" i="3"/>
  <c r="B343" i="5" l="1"/>
  <c r="F342" i="5"/>
  <c r="H342" i="5" s="1"/>
  <c r="B343" i="3"/>
  <c r="F342" i="3"/>
  <c r="H342" i="3" s="1"/>
  <c r="F343" i="5" l="1"/>
  <c r="H343" i="5" s="1"/>
  <c r="B344" i="5"/>
  <c r="F343" i="3"/>
  <c r="H343" i="3" s="1"/>
  <c r="B344" i="3"/>
  <c r="B345" i="5" l="1"/>
  <c r="F344" i="5"/>
  <c r="H344" i="5" s="1"/>
  <c r="F344" i="3"/>
  <c r="H344" i="3" s="1"/>
  <c r="B345" i="3"/>
  <c r="F345" i="5" l="1"/>
  <c r="H345" i="5" s="1"/>
  <c r="B346" i="5"/>
  <c r="B346" i="3"/>
  <c r="F345" i="3"/>
  <c r="H345" i="3" s="1"/>
  <c r="B347" i="5" l="1"/>
  <c r="F346" i="5"/>
  <c r="H346" i="5" s="1"/>
  <c r="F346" i="3"/>
  <c r="H346" i="3" s="1"/>
  <c r="B347" i="3"/>
  <c r="B348" i="5" l="1"/>
  <c r="F347" i="5"/>
  <c r="H347" i="5" s="1"/>
  <c r="F347" i="3"/>
  <c r="H347" i="3" s="1"/>
  <c r="B348" i="3"/>
  <c r="F348" i="5" l="1"/>
  <c r="H348" i="5" s="1"/>
  <c r="B349" i="5"/>
  <c r="B349" i="3"/>
  <c r="F348" i="3"/>
  <c r="H348" i="3" s="1"/>
  <c r="F349" i="5" l="1"/>
  <c r="H349" i="5" s="1"/>
  <c r="B350" i="5"/>
  <c r="B350" i="3"/>
  <c r="F349" i="3"/>
  <c r="H349" i="3" s="1"/>
  <c r="B351" i="5" l="1"/>
  <c r="F350" i="5"/>
  <c r="H350" i="5" s="1"/>
  <c r="F350" i="3"/>
  <c r="H350" i="3" s="1"/>
  <c r="B351" i="3"/>
  <c r="F351" i="5" l="1"/>
  <c r="H351" i="5" s="1"/>
  <c r="B352" i="5"/>
  <c r="B352" i="3"/>
  <c r="F351" i="3"/>
  <c r="H351" i="3" s="1"/>
  <c r="F352" i="5" l="1"/>
  <c r="H352" i="5" s="1"/>
  <c r="B353" i="5"/>
  <c r="B353" i="3"/>
  <c r="F352" i="3"/>
  <c r="H352" i="3" s="1"/>
  <c r="B354" i="5" l="1"/>
  <c r="F353" i="5"/>
  <c r="H353" i="5" s="1"/>
  <c r="F353" i="3"/>
  <c r="H353" i="3" s="1"/>
  <c r="B354" i="3"/>
  <c r="B355" i="5" l="1"/>
  <c r="F354" i="5"/>
  <c r="H354" i="5" s="1"/>
  <c r="B355" i="3"/>
  <c r="F354" i="3"/>
  <c r="H354" i="3" s="1"/>
  <c r="F355" i="5" l="1"/>
  <c r="H355" i="5" s="1"/>
  <c r="B356" i="5"/>
  <c r="F355" i="3"/>
  <c r="H355" i="3" s="1"/>
  <c r="B356" i="3"/>
  <c r="B357" i="5" l="1"/>
  <c r="F356" i="5"/>
  <c r="H356" i="5" s="1"/>
  <c r="F356" i="3"/>
  <c r="H356" i="3" s="1"/>
  <c r="B357" i="3"/>
  <c r="F357" i="5" l="1"/>
  <c r="H357" i="5" s="1"/>
  <c r="B358" i="5"/>
  <c r="B358" i="3"/>
  <c r="F357" i="3"/>
  <c r="H357" i="3" s="1"/>
  <c r="F358" i="5" l="1"/>
  <c r="H358" i="5" s="1"/>
  <c r="B359" i="5"/>
  <c r="B359" i="3"/>
  <c r="F358" i="3"/>
  <c r="H358" i="3" s="1"/>
  <c r="B360" i="5" l="1"/>
  <c r="F359" i="5"/>
  <c r="H359" i="5" s="1"/>
  <c r="F359" i="3"/>
  <c r="H359" i="3" s="1"/>
  <c r="B360" i="3"/>
  <c r="F360" i="5" l="1"/>
  <c r="H360" i="5" s="1"/>
  <c r="B361" i="5"/>
  <c r="B361" i="3"/>
  <c r="F360" i="3"/>
  <c r="H360" i="3" s="1"/>
  <c r="F361" i="5" l="1"/>
  <c r="H361" i="5" s="1"/>
  <c r="B362" i="5"/>
  <c r="B362" i="3"/>
  <c r="F361" i="3"/>
  <c r="H361" i="3" s="1"/>
  <c r="B363" i="5" l="1"/>
  <c r="F362" i="5"/>
  <c r="H362" i="5" s="1"/>
  <c r="F362" i="3"/>
  <c r="H362" i="3" s="1"/>
  <c r="B363" i="3"/>
  <c r="B364" i="5" l="1"/>
  <c r="F363" i="5"/>
  <c r="H363" i="5" s="1"/>
  <c r="B364" i="3"/>
  <c r="F363" i="3"/>
  <c r="H363" i="3" s="1"/>
  <c r="F364" i="5" l="1"/>
  <c r="H364" i="5" s="1"/>
  <c r="B365" i="5"/>
  <c r="F364" i="3"/>
  <c r="H364" i="3" s="1"/>
  <c r="B365" i="3"/>
  <c r="B366" i="5" l="1"/>
  <c r="F365" i="5"/>
  <c r="H365" i="5" s="1"/>
  <c r="F365" i="3"/>
  <c r="H365" i="3" s="1"/>
  <c r="B366" i="3"/>
  <c r="F366" i="5" l="1"/>
  <c r="H366" i="5" s="1"/>
  <c r="B367" i="5"/>
  <c r="B367" i="3"/>
  <c r="F366" i="3"/>
  <c r="H366" i="3" s="1"/>
  <c r="F367" i="5" l="1"/>
  <c r="H367" i="5" s="1"/>
  <c r="B368" i="5"/>
  <c r="B368" i="3"/>
  <c r="F367" i="3"/>
  <c r="H367" i="3" s="1"/>
  <c r="B369" i="5" l="1"/>
  <c r="F368" i="5"/>
  <c r="H368" i="5" s="1"/>
  <c r="F368" i="3"/>
  <c r="H368" i="3" s="1"/>
  <c r="B369" i="3"/>
  <c r="F369" i="5" l="1"/>
  <c r="H369" i="5" s="1"/>
  <c r="B370" i="5"/>
  <c r="B370" i="3"/>
  <c r="F369" i="3"/>
  <c r="H369" i="3" s="1"/>
  <c r="F370" i="5" l="1"/>
  <c r="H370" i="5" s="1"/>
  <c r="B371" i="5"/>
  <c r="F370" i="3"/>
  <c r="H370" i="3" s="1"/>
  <c r="B371" i="3"/>
  <c r="B372" i="5" l="1"/>
  <c r="F371" i="5"/>
  <c r="H371" i="5" s="1"/>
  <c r="F371" i="3"/>
  <c r="H371" i="3" s="1"/>
  <c r="B372" i="3"/>
  <c r="B373" i="5" l="1"/>
  <c r="F372" i="5"/>
  <c r="H372" i="5" s="1"/>
  <c r="B373" i="3"/>
  <c r="F372" i="3"/>
  <c r="H372" i="3" s="1"/>
  <c r="F373" i="5" l="1"/>
  <c r="H373" i="5" s="1"/>
  <c r="B374" i="5"/>
  <c r="F373" i="3"/>
  <c r="H373" i="3" s="1"/>
  <c r="B374" i="3"/>
  <c r="B375" i="5" l="1"/>
  <c r="F374" i="5"/>
  <c r="H374" i="5" s="1"/>
  <c r="F374" i="3"/>
  <c r="H374" i="3" s="1"/>
  <c r="B375" i="3"/>
  <c r="F375" i="5" l="1"/>
  <c r="H375" i="5" s="1"/>
  <c r="B376" i="5"/>
  <c r="B376" i="3"/>
  <c r="F375" i="3"/>
  <c r="H375" i="3" s="1"/>
  <c r="F376" i="5" l="1"/>
  <c r="H376" i="5" s="1"/>
  <c r="B377" i="5"/>
  <c r="B377" i="3"/>
  <c r="F376" i="3"/>
  <c r="H376" i="3" s="1"/>
  <c r="B378" i="5" l="1"/>
  <c r="F377" i="5"/>
  <c r="H377" i="5" s="1"/>
  <c r="B378" i="3"/>
  <c r="F377" i="3"/>
  <c r="H377" i="3" s="1"/>
  <c r="F378" i="5" l="1"/>
  <c r="H378" i="5" s="1"/>
  <c r="B379" i="5"/>
  <c r="F378" i="3"/>
  <c r="H378" i="3" s="1"/>
  <c r="B379" i="3"/>
  <c r="F379" i="5" l="1"/>
  <c r="H379" i="5" s="1"/>
  <c r="B380" i="5"/>
  <c r="F379" i="3"/>
  <c r="H379" i="3" s="1"/>
  <c r="B380" i="3"/>
  <c r="B381" i="5" l="1"/>
  <c r="F380" i="5"/>
  <c r="H380" i="5" s="1"/>
  <c r="B381" i="3"/>
  <c r="F380" i="3"/>
  <c r="H380" i="3" s="1"/>
  <c r="F381" i="5" l="1"/>
  <c r="H381" i="5" s="1"/>
  <c r="B382" i="5"/>
  <c r="B382" i="3"/>
  <c r="F381" i="3"/>
  <c r="H381" i="3" s="1"/>
  <c r="F382" i="5" l="1"/>
  <c r="H382" i="5" s="1"/>
  <c r="B383" i="5"/>
  <c r="F382" i="3"/>
  <c r="H382" i="3" s="1"/>
  <c r="B383" i="3"/>
  <c r="B384" i="5" l="1"/>
  <c r="F383" i="5"/>
  <c r="H383" i="5" s="1"/>
  <c r="B384" i="3"/>
  <c r="F383" i="3"/>
  <c r="H383" i="3" s="1"/>
  <c r="B385" i="5" l="1"/>
  <c r="F384" i="5"/>
  <c r="H384" i="5" s="1"/>
  <c r="F384" i="3"/>
  <c r="H384" i="3" s="1"/>
  <c r="B385" i="3"/>
  <c r="F385" i="5" l="1"/>
  <c r="H385" i="5" s="1"/>
  <c r="B386" i="5"/>
  <c r="B386" i="3"/>
  <c r="F385" i="3"/>
  <c r="H385" i="3" s="1"/>
  <c r="B387" i="5" l="1"/>
  <c r="F386" i="5"/>
  <c r="H386" i="5" s="1"/>
  <c r="B387" i="3"/>
  <c r="F386" i="3"/>
  <c r="H386" i="3" s="1"/>
  <c r="F387" i="5" l="1"/>
  <c r="H387" i="5" s="1"/>
  <c r="B388" i="5"/>
  <c r="F387" i="3"/>
  <c r="H387" i="3" s="1"/>
  <c r="B388" i="3"/>
  <c r="F388" i="5" l="1"/>
  <c r="H388" i="5" s="1"/>
  <c r="B389" i="5"/>
  <c r="B389" i="3"/>
  <c r="F388" i="3"/>
  <c r="H388" i="3" s="1"/>
  <c r="B390" i="5" l="1"/>
  <c r="F389" i="5"/>
  <c r="H389" i="5" s="1"/>
  <c r="B390" i="3"/>
  <c r="F389" i="3"/>
  <c r="H389" i="3" s="1"/>
  <c r="F390" i="5" l="1"/>
  <c r="H390" i="5" s="1"/>
  <c r="B391" i="5"/>
  <c r="F390" i="3"/>
  <c r="H390" i="3" s="1"/>
  <c r="B391" i="3"/>
  <c r="F391" i="5" l="1"/>
  <c r="H391" i="5" s="1"/>
  <c r="B392" i="5"/>
  <c r="B392" i="3"/>
  <c r="F391" i="3"/>
  <c r="H391" i="3" s="1"/>
  <c r="B393" i="5" l="1"/>
  <c r="F392" i="5"/>
  <c r="H392" i="5" s="1"/>
  <c r="B393" i="3"/>
  <c r="F392" i="3"/>
  <c r="H392" i="3" s="1"/>
  <c r="B394" i="5" l="1"/>
  <c r="F393" i="5"/>
  <c r="H393" i="5" s="1"/>
  <c r="F393" i="3"/>
  <c r="H393" i="3" s="1"/>
  <c r="B394" i="3"/>
  <c r="F394" i="5" l="1"/>
  <c r="H394" i="5" s="1"/>
  <c r="B395" i="5"/>
  <c r="B395" i="3"/>
  <c r="F394" i="3"/>
  <c r="H394" i="3" s="1"/>
  <c r="B396" i="5" l="1"/>
  <c r="F395" i="5"/>
  <c r="H395" i="5" s="1"/>
  <c r="B396" i="3"/>
  <c r="F395" i="3"/>
  <c r="H395" i="3" s="1"/>
  <c r="F396" i="5" l="1"/>
  <c r="H396" i="5" s="1"/>
  <c r="B397" i="5"/>
  <c r="F396" i="3"/>
  <c r="H396" i="3" s="1"/>
  <c r="B397" i="3"/>
  <c r="F397" i="5" l="1"/>
  <c r="H397" i="5" s="1"/>
  <c r="B398" i="5"/>
  <c r="B398" i="3"/>
  <c r="F397" i="3"/>
  <c r="H397" i="3" s="1"/>
  <c r="B399" i="5" l="1"/>
  <c r="F398" i="5"/>
  <c r="H398" i="5" s="1"/>
  <c r="B399" i="3"/>
  <c r="F398" i="3"/>
  <c r="H398" i="3" s="1"/>
  <c r="F399" i="5" l="1"/>
  <c r="H399" i="5" s="1"/>
  <c r="B400" i="5"/>
  <c r="F399" i="3"/>
  <c r="H399" i="3" s="1"/>
  <c r="B400" i="3"/>
  <c r="F400" i="5" l="1"/>
  <c r="H400" i="5" s="1"/>
  <c r="B401" i="5"/>
  <c r="B401" i="3"/>
  <c r="F400" i="3"/>
  <c r="H400" i="3" s="1"/>
  <c r="B402" i="5" l="1"/>
  <c r="F401" i="5"/>
  <c r="H401" i="5" s="1"/>
  <c r="B402" i="3"/>
  <c r="F401" i="3"/>
  <c r="H401" i="3" s="1"/>
  <c r="B403" i="5" l="1"/>
  <c r="F402" i="5"/>
  <c r="H402" i="5" s="1"/>
  <c r="F402" i="3"/>
  <c r="H402" i="3" s="1"/>
  <c r="B403" i="3"/>
  <c r="F403" i="5" l="1"/>
  <c r="H403" i="5" s="1"/>
  <c r="B404" i="5"/>
  <c r="B404" i="3"/>
  <c r="F403" i="3"/>
  <c r="H403" i="3" s="1"/>
  <c r="B405" i="5" l="1"/>
  <c r="F404" i="5"/>
  <c r="H404" i="5" s="1"/>
  <c r="B405" i="3"/>
  <c r="F404" i="3"/>
  <c r="H404" i="3" s="1"/>
  <c r="F405" i="5" l="1"/>
  <c r="H405" i="5" s="1"/>
  <c r="B406" i="5"/>
  <c r="F405" i="3"/>
  <c r="H405" i="3" s="1"/>
  <c r="B406" i="3"/>
  <c r="F406" i="5" l="1"/>
  <c r="H406" i="5" s="1"/>
  <c r="B407" i="5"/>
  <c r="B407" i="3"/>
  <c r="F406" i="3"/>
  <c r="H406" i="3" s="1"/>
  <c r="B408" i="5" l="1"/>
  <c r="F407" i="5"/>
  <c r="H407" i="5" s="1"/>
  <c r="B408" i="3"/>
  <c r="F407" i="3"/>
  <c r="H407" i="3" s="1"/>
  <c r="B409" i="5" l="1"/>
  <c r="F408" i="5"/>
  <c r="H408" i="5" s="1"/>
  <c r="F408" i="3"/>
  <c r="H408" i="3" s="1"/>
  <c r="B409" i="3"/>
  <c r="F409" i="5" l="1"/>
  <c r="H409" i="5" s="1"/>
  <c r="B410" i="5"/>
  <c r="B410" i="3"/>
  <c r="F409" i="3"/>
  <c r="H409" i="3" s="1"/>
  <c r="B411" i="5" l="1"/>
  <c r="F410" i="5"/>
  <c r="H410" i="5" s="1"/>
  <c r="B411" i="3"/>
  <c r="F410" i="3"/>
  <c r="H410" i="3" s="1"/>
  <c r="B412" i="5" l="1"/>
  <c r="F411" i="5"/>
  <c r="H411" i="5" s="1"/>
  <c r="F411" i="3"/>
  <c r="H411" i="3" s="1"/>
  <c r="B412" i="3"/>
  <c r="F412" i="5" l="1"/>
  <c r="H412" i="5" s="1"/>
  <c r="B413" i="5"/>
  <c r="B413" i="3"/>
  <c r="F412" i="3"/>
  <c r="H412" i="3" s="1"/>
  <c r="B414" i="5" l="1"/>
  <c r="F413" i="5"/>
  <c r="H413" i="5" s="1"/>
  <c r="B414" i="3"/>
  <c r="F413" i="3"/>
  <c r="H413" i="3" s="1"/>
  <c r="F414" i="5" l="1"/>
  <c r="H414" i="5" s="1"/>
  <c r="B415" i="5"/>
  <c r="F414" i="3"/>
  <c r="H414" i="3" s="1"/>
  <c r="B415" i="3"/>
  <c r="F415" i="5" l="1"/>
  <c r="H415" i="5" s="1"/>
  <c r="B416" i="5"/>
  <c r="B416" i="3"/>
  <c r="F415" i="3"/>
  <c r="H415" i="3" s="1"/>
  <c r="B417" i="5" l="1"/>
  <c r="F416" i="5"/>
  <c r="H416" i="5" s="1"/>
  <c r="B417" i="3"/>
  <c r="F416" i="3"/>
  <c r="H416" i="3" s="1"/>
  <c r="F417" i="5" l="1"/>
  <c r="H417" i="5" s="1"/>
  <c r="B418" i="5"/>
  <c r="F417" i="3"/>
  <c r="H417" i="3" s="1"/>
  <c r="B418" i="3"/>
  <c r="F418" i="5" l="1"/>
  <c r="H418" i="5" s="1"/>
  <c r="B419" i="5"/>
  <c r="B419" i="3"/>
  <c r="F418" i="3"/>
  <c r="H418" i="3" s="1"/>
  <c r="B420" i="5" l="1"/>
  <c r="F419" i="5"/>
  <c r="H419" i="5" s="1"/>
  <c r="B420" i="3"/>
  <c r="F419" i="3"/>
  <c r="H419" i="3" s="1"/>
  <c r="B421" i="5" l="1"/>
  <c r="F420" i="5"/>
  <c r="H420" i="5" s="1"/>
  <c r="F420" i="3"/>
  <c r="H420" i="3" s="1"/>
  <c r="B421" i="3"/>
  <c r="F421" i="5" l="1"/>
  <c r="H421" i="5" s="1"/>
  <c r="B422" i="5"/>
  <c r="B422" i="3"/>
  <c r="F421" i="3"/>
  <c r="H421" i="3" s="1"/>
  <c r="B423" i="5" l="1"/>
  <c r="F422" i="5"/>
  <c r="H422" i="5" s="1"/>
  <c r="B423" i="3"/>
  <c r="F422" i="3"/>
  <c r="H422" i="3" s="1"/>
  <c r="F423" i="5" l="1"/>
  <c r="H423" i="5" s="1"/>
  <c r="B424" i="5"/>
  <c r="F423" i="3"/>
  <c r="H423" i="3" s="1"/>
  <c r="B424" i="3"/>
  <c r="F424" i="5" l="1"/>
  <c r="H424" i="5" s="1"/>
  <c r="B425" i="5"/>
  <c r="B425" i="3"/>
  <c r="F424" i="3"/>
  <c r="H424" i="3" s="1"/>
  <c r="B426" i="5" l="1"/>
  <c r="F425" i="5"/>
  <c r="H425" i="5" s="1"/>
  <c r="B426" i="3"/>
  <c r="F425" i="3"/>
  <c r="H425" i="3" s="1"/>
  <c r="B427" i="5" l="1"/>
  <c r="F426" i="5"/>
  <c r="H426" i="5" s="1"/>
  <c r="F426" i="3"/>
  <c r="H426" i="3" s="1"/>
  <c r="B427" i="3"/>
  <c r="F427" i="5" l="1"/>
  <c r="H427" i="5" s="1"/>
  <c r="B428" i="5"/>
  <c r="B428" i="3"/>
  <c r="F427" i="3"/>
  <c r="H427" i="3" s="1"/>
  <c r="B429" i="5" l="1"/>
  <c r="F428" i="5"/>
  <c r="H428" i="5" s="1"/>
  <c r="B429" i="3"/>
  <c r="F428" i="3"/>
  <c r="H428" i="3" s="1"/>
  <c r="B430" i="5" l="1"/>
  <c r="F429" i="5"/>
  <c r="H429" i="5" s="1"/>
  <c r="F429" i="3"/>
  <c r="H429" i="3" s="1"/>
  <c r="B430" i="3"/>
  <c r="F430" i="5" l="1"/>
  <c r="H430" i="5" s="1"/>
  <c r="B431" i="5"/>
  <c r="B431" i="3"/>
  <c r="F430" i="3"/>
  <c r="H430" i="3" s="1"/>
  <c r="B432" i="5" l="1"/>
  <c r="F431" i="5"/>
  <c r="H431" i="5" s="1"/>
  <c r="B432" i="3"/>
  <c r="F431" i="3"/>
  <c r="H431" i="3" s="1"/>
  <c r="F432" i="5" l="1"/>
  <c r="H432" i="5" s="1"/>
  <c r="B433" i="5"/>
  <c r="F432" i="3"/>
  <c r="H432" i="3" s="1"/>
  <c r="B433" i="3"/>
  <c r="F433" i="5" l="1"/>
  <c r="H433" i="5" s="1"/>
  <c r="B434" i="5"/>
  <c r="B434" i="3"/>
  <c r="F433" i="3"/>
  <c r="H433" i="3" s="1"/>
  <c r="B435" i="5" l="1"/>
  <c r="F434" i="5"/>
  <c r="H434" i="5" s="1"/>
  <c r="B435" i="3"/>
  <c r="F434" i="3"/>
  <c r="H434" i="3" s="1"/>
  <c r="B436" i="5" l="1"/>
  <c r="F435" i="5"/>
  <c r="H435" i="5" s="1"/>
  <c r="F435" i="3"/>
  <c r="H435" i="3" s="1"/>
  <c r="B436" i="3"/>
  <c r="F436" i="5" l="1"/>
  <c r="H436" i="5" s="1"/>
  <c r="B437" i="5"/>
  <c r="B437" i="3"/>
  <c r="F436" i="3"/>
  <c r="H436" i="3" s="1"/>
  <c r="B438" i="5" l="1"/>
  <c r="F437" i="5"/>
  <c r="H437" i="5" s="1"/>
  <c r="B438" i="3"/>
  <c r="F437" i="3"/>
  <c r="H437" i="3" s="1"/>
  <c r="B439" i="5" l="1"/>
  <c r="F438" i="5"/>
  <c r="H438" i="5" s="1"/>
  <c r="F438" i="3"/>
  <c r="H438" i="3" s="1"/>
  <c r="B439" i="3"/>
  <c r="F439" i="5" l="1"/>
  <c r="H439" i="5" s="1"/>
  <c r="B440" i="5"/>
  <c r="B440" i="3"/>
  <c r="F439" i="3"/>
  <c r="H439" i="3" s="1"/>
  <c r="B441" i="5" l="1"/>
  <c r="F440" i="5"/>
  <c r="H440" i="5" s="1"/>
  <c r="B441" i="3"/>
  <c r="F440" i="3"/>
  <c r="H440" i="3" s="1"/>
  <c r="F441" i="5" l="1"/>
  <c r="H441" i="5" s="1"/>
  <c r="B442" i="5"/>
  <c r="F441" i="3"/>
  <c r="H441" i="3" s="1"/>
  <c r="B442" i="3"/>
  <c r="F442" i="5" l="1"/>
  <c r="H442" i="5" s="1"/>
  <c r="B443" i="5"/>
  <c r="B443" i="3"/>
  <c r="F442" i="3"/>
  <c r="H442" i="3" s="1"/>
  <c r="B444" i="5" l="1"/>
  <c r="F443" i="5"/>
  <c r="H443" i="5" s="1"/>
  <c r="B444" i="3"/>
  <c r="F443" i="3"/>
  <c r="H443" i="3" s="1"/>
  <c r="F444" i="5" l="1"/>
  <c r="H444" i="5" s="1"/>
  <c r="B445" i="5"/>
  <c r="F444" i="3"/>
  <c r="H444" i="3" s="1"/>
  <c r="B445" i="3"/>
  <c r="F445" i="5" l="1"/>
  <c r="H445" i="5" s="1"/>
  <c r="B446" i="5"/>
  <c r="B446" i="3"/>
  <c r="F445" i="3"/>
  <c r="H445" i="3" s="1"/>
  <c r="B447" i="5" l="1"/>
  <c r="F446" i="5"/>
  <c r="H446" i="5" s="1"/>
  <c r="B447" i="3"/>
  <c r="F446" i="3"/>
  <c r="H446" i="3" s="1"/>
  <c r="B448" i="5" l="1"/>
  <c r="F447" i="5"/>
  <c r="H447" i="5" s="1"/>
  <c r="F447" i="3"/>
  <c r="H447" i="3" s="1"/>
  <c r="B448" i="3"/>
  <c r="F448" i="5" l="1"/>
  <c r="H448" i="5" s="1"/>
  <c r="B449" i="5"/>
  <c r="B449" i="3"/>
  <c r="F448" i="3"/>
  <c r="H448" i="3" s="1"/>
  <c r="B450" i="5" l="1"/>
  <c r="F449" i="5"/>
  <c r="H449" i="5" s="1"/>
  <c r="B450" i="3"/>
  <c r="F449" i="3"/>
  <c r="H449" i="3" s="1"/>
  <c r="F450" i="5" l="1"/>
  <c r="H450" i="5" s="1"/>
  <c r="B451" i="5"/>
  <c r="F450" i="3"/>
  <c r="H450" i="3" s="1"/>
  <c r="B451" i="3"/>
  <c r="F451" i="5" l="1"/>
  <c r="H451" i="5" s="1"/>
  <c r="B452" i="5"/>
  <c r="B452" i="3"/>
  <c r="F451" i="3"/>
  <c r="H451" i="3" s="1"/>
  <c r="B453" i="5" l="1"/>
  <c r="F452" i="5"/>
  <c r="H452" i="5" s="1"/>
  <c r="B453" i="3"/>
  <c r="F452" i="3"/>
  <c r="H452" i="3" s="1"/>
  <c r="B454" i="5" l="1"/>
  <c r="F453" i="5"/>
  <c r="H453" i="5" s="1"/>
  <c r="F453" i="3"/>
  <c r="H453" i="3" s="1"/>
  <c r="B454" i="3"/>
  <c r="F454" i="5" l="1"/>
  <c r="H454" i="5" s="1"/>
  <c r="B455" i="5"/>
  <c r="B455" i="3"/>
  <c r="F454" i="3"/>
  <c r="H454" i="3" s="1"/>
  <c r="B456" i="5" l="1"/>
  <c r="F455" i="5"/>
  <c r="H455" i="5" s="1"/>
  <c r="B456" i="3"/>
  <c r="F455" i="3"/>
  <c r="H455" i="3" s="1"/>
  <c r="B457" i="5" l="1"/>
  <c r="F456" i="5"/>
  <c r="H456" i="5" s="1"/>
  <c r="F456" i="3"/>
  <c r="H456" i="3" s="1"/>
  <c r="B457" i="3"/>
  <c r="F457" i="5" l="1"/>
  <c r="H457" i="5" s="1"/>
  <c r="B458" i="5"/>
  <c r="B458" i="3"/>
  <c r="F457" i="3"/>
  <c r="H457" i="3" s="1"/>
  <c r="B459" i="5" l="1"/>
  <c r="F458" i="5"/>
  <c r="H458" i="5" s="1"/>
  <c r="B459" i="3"/>
  <c r="F458" i="3"/>
  <c r="H458" i="3" s="1"/>
  <c r="F459" i="5" l="1"/>
  <c r="H459" i="5" s="1"/>
  <c r="B460" i="5"/>
  <c r="F459" i="3"/>
  <c r="H459" i="3" s="1"/>
  <c r="B460" i="3"/>
  <c r="F460" i="5" l="1"/>
  <c r="H460" i="5" s="1"/>
  <c r="B461" i="5"/>
  <c r="B461" i="3"/>
  <c r="F460" i="3"/>
  <c r="H460" i="3" s="1"/>
  <c r="B462" i="5" l="1"/>
  <c r="F461" i="5"/>
  <c r="H461" i="5" s="1"/>
  <c r="B462" i="3"/>
  <c r="F461" i="3"/>
  <c r="H461" i="3" s="1"/>
  <c r="B463" i="5" l="1"/>
  <c r="F462" i="5"/>
  <c r="H462" i="5" s="1"/>
  <c r="F462" i="3"/>
  <c r="H462" i="3" s="1"/>
  <c r="B463" i="3"/>
  <c r="F463" i="5" l="1"/>
  <c r="H463" i="5" s="1"/>
  <c r="B464" i="5"/>
  <c r="B464" i="3"/>
  <c r="F463" i="3"/>
  <c r="H463" i="3" s="1"/>
  <c r="B465" i="5" l="1"/>
  <c r="F464" i="5"/>
  <c r="H464" i="5" s="1"/>
  <c r="B465" i="3"/>
  <c r="F464" i="3"/>
  <c r="H464" i="3" s="1"/>
  <c r="B466" i="5" l="1"/>
  <c r="F465" i="5"/>
  <c r="H465" i="5" s="1"/>
  <c r="F465" i="3"/>
  <c r="H465" i="3" s="1"/>
  <c r="B466" i="3"/>
  <c r="F466" i="5" l="1"/>
  <c r="H466" i="5" s="1"/>
  <c r="B467" i="5"/>
  <c r="B467" i="3"/>
  <c r="F466" i="3"/>
  <c r="H466" i="3" s="1"/>
  <c r="B468" i="5" l="1"/>
  <c r="F467" i="5"/>
  <c r="H467" i="5" s="1"/>
  <c r="B468" i="3"/>
  <c r="F467" i="3"/>
  <c r="H467" i="3" s="1"/>
  <c r="F468" i="5" l="1"/>
  <c r="H468" i="5" s="1"/>
  <c r="B469" i="5"/>
  <c r="F468" i="3"/>
  <c r="H468" i="3" s="1"/>
  <c r="B469" i="3"/>
  <c r="F469" i="5" l="1"/>
  <c r="H469" i="5" s="1"/>
  <c r="B470" i="5"/>
  <c r="B470" i="3"/>
  <c r="F469" i="3"/>
  <c r="H469" i="3" s="1"/>
  <c r="B471" i="5" l="1"/>
  <c r="F470" i="5"/>
  <c r="H470" i="5" s="1"/>
  <c r="B471" i="3"/>
  <c r="F470" i="3"/>
  <c r="H470" i="3" s="1"/>
  <c r="F471" i="5" l="1"/>
  <c r="H471" i="5" s="1"/>
  <c r="B472" i="5"/>
  <c r="F471" i="3"/>
  <c r="H471" i="3" s="1"/>
  <c r="B472" i="3"/>
  <c r="F472" i="5" l="1"/>
  <c r="H472" i="5" s="1"/>
  <c r="B473" i="5"/>
  <c r="B473" i="3"/>
  <c r="F472" i="3"/>
  <c r="H472" i="3" s="1"/>
  <c r="B474" i="5" l="1"/>
  <c r="F473" i="5"/>
  <c r="H473" i="5" s="1"/>
  <c r="B474" i="3"/>
  <c r="F473" i="3"/>
  <c r="H473" i="3" s="1"/>
  <c r="B475" i="5" l="1"/>
  <c r="F474" i="5"/>
  <c r="H474" i="5" s="1"/>
  <c r="F474" i="3"/>
  <c r="H474" i="3" s="1"/>
  <c r="B475" i="3"/>
  <c r="F475" i="5" l="1"/>
  <c r="H475" i="5" s="1"/>
  <c r="B476" i="5"/>
  <c r="B476" i="3"/>
  <c r="F475" i="3"/>
  <c r="H475" i="3" s="1"/>
  <c r="B477" i="5" l="1"/>
  <c r="F476" i="5"/>
  <c r="H476" i="5" s="1"/>
  <c r="B477" i="3"/>
  <c r="F476" i="3"/>
  <c r="H476" i="3" s="1"/>
  <c r="F477" i="5" l="1"/>
  <c r="H477" i="5" s="1"/>
  <c r="B478" i="5"/>
  <c r="F477" i="3"/>
  <c r="H477" i="3" s="1"/>
  <c r="B478" i="3"/>
  <c r="F478" i="5" l="1"/>
  <c r="H478" i="5" s="1"/>
  <c r="B479" i="5"/>
  <c r="B479" i="3"/>
  <c r="F478" i="3"/>
  <c r="H478" i="3" s="1"/>
  <c r="B480" i="5" l="1"/>
  <c r="F479" i="5"/>
  <c r="H479" i="5" s="1"/>
  <c r="B480" i="3"/>
  <c r="F479" i="3"/>
  <c r="H479" i="3" s="1"/>
  <c r="B481" i="5" l="1"/>
  <c r="F480" i="5"/>
  <c r="H480" i="5" s="1"/>
  <c r="F480" i="3"/>
  <c r="H480" i="3" s="1"/>
  <c r="B481" i="3"/>
  <c r="F481" i="5" l="1"/>
  <c r="H481" i="5" s="1"/>
  <c r="B482" i="5"/>
  <c r="B482" i="3"/>
  <c r="F481" i="3"/>
  <c r="H481" i="3" s="1"/>
  <c r="B483" i="5" l="1"/>
  <c r="F482" i="5"/>
  <c r="H482" i="5" s="1"/>
  <c r="B483" i="3"/>
  <c r="F482" i="3"/>
  <c r="H482" i="3" s="1"/>
  <c r="B484" i="5" l="1"/>
  <c r="F483" i="5"/>
  <c r="H483" i="5" s="1"/>
  <c r="F483" i="3"/>
  <c r="H483" i="3" s="1"/>
  <c r="B484" i="3"/>
  <c r="F484" i="5" l="1"/>
  <c r="H484" i="5" s="1"/>
  <c r="B485" i="5"/>
  <c r="B485" i="3"/>
  <c r="F484" i="3"/>
  <c r="H484" i="3" s="1"/>
  <c r="B486" i="5" l="1"/>
  <c r="F485" i="5"/>
  <c r="H485" i="5" s="1"/>
  <c r="B486" i="3"/>
  <c r="F485" i="3"/>
  <c r="H485" i="3" s="1"/>
  <c r="F486" i="5" l="1"/>
  <c r="H486" i="5" s="1"/>
  <c r="B487" i="5"/>
  <c r="F486" i="3"/>
  <c r="H486" i="3" s="1"/>
  <c r="B487" i="3"/>
  <c r="F487" i="5" l="1"/>
  <c r="H487" i="5" s="1"/>
  <c r="B488" i="5"/>
  <c r="B488" i="3"/>
  <c r="F487" i="3"/>
  <c r="H487" i="3" s="1"/>
  <c r="B489" i="5" l="1"/>
  <c r="F488" i="5"/>
  <c r="H488" i="5" s="1"/>
  <c r="B489" i="3"/>
  <c r="F488" i="3"/>
  <c r="H488" i="3" s="1"/>
  <c r="B490" i="5" l="1"/>
  <c r="F489" i="5"/>
  <c r="H489" i="5" s="1"/>
  <c r="F489" i="3"/>
  <c r="H489" i="3" s="1"/>
  <c r="B490" i="3"/>
  <c r="F490" i="5" l="1"/>
  <c r="H490" i="5" s="1"/>
  <c r="B491" i="5"/>
  <c r="B491" i="3"/>
  <c r="F490" i="3"/>
  <c r="H490" i="3" s="1"/>
  <c r="B492" i="5" l="1"/>
  <c r="F491" i="5"/>
  <c r="H491" i="5" s="1"/>
  <c r="B492" i="3"/>
  <c r="F491" i="3"/>
  <c r="H491" i="3" s="1"/>
  <c r="B493" i="5" l="1"/>
  <c r="F492" i="5"/>
  <c r="H492" i="5" s="1"/>
  <c r="F492" i="3"/>
  <c r="H492" i="3" s="1"/>
  <c r="B493" i="3"/>
  <c r="F493" i="5" l="1"/>
  <c r="H493" i="5" s="1"/>
  <c r="B494" i="5"/>
  <c r="B494" i="3"/>
  <c r="F493" i="3"/>
  <c r="H493" i="3" s="1"/>
  <c r="B495" i="5" l="1"/>
  <c r="F494" i="5"/>
  <c r="H494" i="5" s="1"/>
  <c r="B495" i="3"/>
  <c r="F494" i="3"/>
  <c r="H494" i="3" s="1"/>
  <c r="F495" i="5" l="1"/>
  <c r="H495" i="5" s="1"/>
  <c r="B496" i="5"/>
  <c r="F495" i="3"/>
  <c r="H495" i="3" s="1"/>
  <c r="B496" i="3"/>
  <c r="F496" i="5" l="1"/>
  <c r="H496" i="5" s="1"/>
  <c r="B497" i="5"/>
  <c r="B497" i="3"/>
  <c r="F496" i="3"/>
  <c r="H496" i="3" s="1"/>
  <c r="B498" i="5" l="1"/>
  <c r="F497" i="5"/>
  <c r="H497" i="5" s="1"/>
  <c r="B498" i="3"/>
  <c r="F497" i="3"/>
  <c r="H497" i="3" s="1"/>
  <c r="F498" i="5" l="1"/>
  <c r="H498" i="5" s="1"/>
  <c r="B499" i="5"/>
  <c r="F498" i="3"/>
  <c r="H498" i="3" s="1"/>
  <c r="B499" i="3"/>
  <c r="F499" i="5" l="1"/>
  <c r="H499" i="5" s="1"/>
  <c r="B500" i="5"/>
  <c r="B500" i="3"/>
  <c r="F499" i="3"/>
  <c r="H499" i="3" s="1"/>
  <c r="B501" i="5" l="1"/>
  <c r="F500" i="5"/>
  <c r="H500" i="5" s="1"/>
  <c r="B501" i="3"/>
  <c r="F500" i="3"/>
  <c r="H500" i="3" s="1"/>
  <c r="B502" i="5" l="1"/>
  <c r="F501" i="5"/>
  <c r="H501" i="5" s="1"/>
  <c r="F501" i="3"/>
  <c r="H501" i="3" s="1"/>
  <c r="B502" i="3"/>
  <c r="F502" i="5" l="1"/>
  <c r="H502" i="5" s="1"/>
  <c r="B503" i="5"/>
  <c r="B503" i="3"/>
  <c r="F502" i="3"/>
  <c r="H502" i="3" s="1"/>
  <c r="B504" i="5" l="1"/>
  <c r="F504" i="5" s="1"/>
  <c r="F503" i="5"/>
  <c r="H503" i="5" s="1"/>
  <c r="B504" i="3"/>
  <c r="F504" i="3" s="1"/>
  <c r="F503" i="3"/>
  <c r="H503" i="3" s="1"/>
  <c r="H504" i="5" l="1"/>
  <c r="K7" i="5"/>
  <c r="H504" i="3"/>
  <c r="K7" i="3"/>
</calcChain>
</file>

<file path=xl/sharedStrings.xml><?xml version="1.0" encoding="utf-8"?>
<sst xmlns="http://schemas.openxmlformats.org/spreadsheetml/2006/main" count="2132" uniqueCount="1076">
  <si>
    <t>1988年</t>
    <phoneticPr fontId="4" type="noConversion"/>
  </si>
  <si>
    <t>现金流：亿美元</t>
    <phoneticPr fontId="4" type="noConversion"/>
  </si>
  <si>
    <t>折现系数</t>
    <phoneticPr fontId="4" type="noConversion"/>
  </si>
  <si>
    <t>=8.28*（1+15%）</t>
    <phoneticPr fontId="4" type="noConversion"/>
  </si>
  <si>
    <t>计算公式</t>
    <phoneticPr fontId="4" type="noConversion"/>
  </si>
  <si>
    <t>=9.52*（1+15%）</t>
    <phoneticPr fontId="4" type="noConversion"/>
  </si>
  <si>
    <t>=10.95*（1+15%）</t>
    <phoneticPr fontId="4" type="noConversion"/>
  </si>
  <si>
    <t>=14.48*（1+15%）</t>
    <phoneticPr fontId="4" type="noConversion"/>
  </si>
  <si>
    <t>=16.65*（1+15%）</t>
    <phoneticPr fontId="4" type="noConversion"/>
  </si>
  <si>
    <t>=12.59*（1+15%）</t>
    <phoneticPr fontId="4" type="noConversion"/>
  </si>
  <si>
    <t>=19.15*（1+15%）</t>
    <phoneticPr fontId="4" type="noConversion"/>
  </si>
  <si>
    <t>每年折现9%</t>
    <phoneticPr fontId="4" type="noConversion"/>
  </si>
  <si>
    <t>=1/（1+9%）</t>
    <phoneticPr fontId="4" type="noConversion"/>
  </si>
  <si>
    <t>=0.917/（1+9%）</t>
    <phoneticPr fontId="4" type="noConversion"/>
  </si>
  <si>
    <t>=0.842/（1+9%）</t>
    <phoneticPr fontId="4" type="noConversion"/>
  </si>
  <si>
    <t>=0.772/（1+9%）</t>
    <phoneticPr fontId="4" type="noConversion"/>
  </si>
  <si>
    <t>=0.708/（1+9%）</t>
    <phoneticPr fontId="4" type="noConversion"/>
  </si>
  <si>
    <t>=0.650/（1+9%）</t>
    <phoneticPr fontId="4" type="noConversion"/>
  </si>
  <si>
    <t>=0.596/（1+9%）</t>
    <phoneticPr fontId="4" type="noConversion"/>
  </si>
  <si>
    <t>=0.547/（1+9%）</t>
    <phoneticPr fontId="4" type="noConversion"/>
  </si>
  <si>
    <t>=0.502/（1+9%）</t>
    <phoneticPr fontId="4" type="noConversion"/>
  </si>
  <si>
    <t>=0.460/（1+9%）</t>
    <phoneticPr fontId="4" type="noConversion"/>
  </si>
  <si>
    <t>=B4*D4</t>
    <phoneticPr fontId="4" type="noConversion"/>
  </si>
  <si>
    <t>=B5*D5</t>
    <phoneticPr fontId="4" type="noConversion"/>
  </si>
  <si>
    <t>=B6*D6</t>
    <phoneticPr fontId="4" type="noConversion"/>
  </si>
  <si>
    <t>=B7*D7</t>
    <phoneticPr fontId="4" type="noConversion"/>
  </si>
  <si>
    <t>=B8*D8</t>
    <phoneticPr fontId="4" type="noConversion"/>
  </si>
  <si>
    <t>=B9*D9</t>
    <phoneticPr fontId="4" type="noConversion"/>
  </si>
  <si>
    <t>=B10*D10</t>
    <phoneticPr fontId="4" type="noConversion"/>
  </si>
  <si>
    <t>=B11*D11</t>
    <phoneticPr fontId="4" type="noConversion"/>
  </si>
  <si>
    <t>=B12*D12</t>
    <phoneticPr fontId="4" type="noConversion"/>
  </si>
  <si>
    <t>=B13*D13</t>
    <phoneticPr fontId="4" type="noConversion"/>
  </si>
  <si>
    <t>=对F4到F13求和</t>
  </si>
  <si>
    <t>=对F4到F13求和</t>
    <phoneticPr fontId="4" type="noConversion"/>
  </si>
  <si>
    <t>10年内</t>
    <phoneticPr fontId="4" type="noConversion"/>
  </si>
  <si>
    <t>10年后</t>
    <phoneticPr fontId="4" type="noConversion"/>
  </si>
  <si>
    <t>10年内每年增长15%</t>
    <phoneticPr fontId="4" type="noConversion"/>
  </si>
  <si>
    <t>10年外每年增长5%</t>
    <phoneticPr fontId="4" type="noConversion"/>
  </si>
  <si>
    <t>=22.02*（1+15%）</t>
    <phoneticPr fontId="4" type="noConversion"/>
  </si>
  <si>
    <t>=25.33*（1+15%）</t>
    <phoneticPr fontId="4" type="noConversion"/>
  </si>
  <si>
    <t>=29.13*（1+15%）</t>
    <phoneticPr fontId="4" type="noConversion"/>
  </si>
  <si>
    <t>第1年</t>
    <phoneticPr fontId="4" type="noConversion"/>
  </si>
  <si>
    <t>第2年</t>
    <phoneticPr fontId="4" type="noConversion"/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</si>
  <si>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</si>
  <si>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</si>
  <si>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</si>
  <si>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</si>
  <si>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</si>
  <si>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</si>
  <si>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</si>
  <si>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</si>
  <si>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第11年</t>
    <phoneticPr fontId="4" type="noConversion"/>
  </si>
  <si>
    <t>=33.5*（1+5%）</t>
    <phoneticPr fontId="4" type="noConversion"/>
  </si>
  <si>
    <t>第12年</t>
  </si>
  <si>
    <t>第13年</t>
  </si>
  <si>
    <t>第14年</t>
  </si>
  <si>
    <t>第15年</t>
  </si>
  <si>
    <t>第16年</t>
  </si>
  <si>
    <t>第17年</t>
  </si>
  <si>
    <t>第18年</t>
  </si>
  <si>
    <t>第19年</t>
  </si>
  <si>
    <t>第20年</t>
  </si>
  <si>
    <t>第21年</t>
  </si>
  <si>
    <t>第22年</t>
  </si>
  <si>
    <t>第23年</t>
  </si>
  <si>
    <t>第24年</t>
  </si>
  <si>
    <t>第25年</t>
  </si>
  <si>
    <t>第26年</t>
  </si>
  <si>
    <t>=35.17*（1+5%）</t>
    <phoneticPr fontId="4" type="noConversion"/>
  </si>
  <si>
    <t>第27年</t>
  </si>
  <si>
    <t>第28年</t>
  </si>
  <si>
    <t>第29年</t>
  </si>
  <si>
    <t>第30年</t>
  </si>
  <si>
    <t>第31年</t>
  </si>
  <si>
    <t>第32年</t>
  </si>
  <si>
    <t>第33年</t>
  </si>
  <si>
    <t>第34年</t>
  </si>
  <si>
    <t>第35年</t>
  </si>
  <si>
    <t>第36年</t>
  </si>
  <si>
    <t>第37年</t>
  </si>
  <si>
    <t>第38年</t>
  </si>
  <si>
    <t>第39年</t>
  </si>
  <si>
    <t>第40年</t>
  </si>
  <si>
    <t>第41年</t>
  </si>
  <si>
    <t>第42年</t>
  </si>
  <si>
    <t>第43年</t>
  </si>
  <si>
    <t>第44年</t>
  </si>
  <si>
    <t>第45年</t>
  </si>
  <si>
    <t>第46年</t>
  </si>
  <si>
    <t>第47年</t>
  </si>
  <si>
    <t>第48年</t>
  </si>
  <si>
    <t>第49年</t>
  </si>
  <si>
    <t>第50年</t>
  </si>
  <si>
    <t>第51年</t>
  </si>
  <si>
    <t>第52年</t>
  </si>
  <si>
    <t>第53年</t>
  </si>
  <si>
    <t>第54年</t>
  </si>
  <si>
    <t>第55年</t>
  </si>
  <si>
    <t>第56年</t>
  </si>
  <si>
    <t>第57年</t>
  </si>
  <si>
    <t>第58年</t>
  </si>
  <si>
    <t>第59年</t>
  </si>
  <si>
    <t>第60年</t>
  </si>
  <si>
    <t>第61年</t>
  </si>
  <si>
    <t>第62年</t>
  </si>
  <si>
    <t>第63年</t>
  </si>
  <si>
    <t>第64年</t>
  </si>
  <si>
    <t>第65年</t>
  </si>
  <si>
    <t>第66年</t>
  </si>
  <si>
    <t>第67年</t>
  </si>
  <si>
    <t>第68年</t>
  </si>
  <si>
    <t>第69年</t>
  </si>
  <si>
    <t>第70年</t>
  </si>
  <si>
    <t>第71年</t>
  </si>
  <si>
    <t>第72年</t>
  </si>
  <si>
    <t>第73年</t>
  </si>
  <si>
    <t>第74年</t>
  </si>
  <si>
    <t>第75年</t>
  </si>
  <si>
    <t>第76年</t>
  </si>
  <si>
    <t>第77年</t>
  </si>
  <si>
    <t>第78年</t>
  </si>
  <si>
    <t>第79年</t>
  </si>
  <si>
    <t>第80年</t>
  </si>
  <si>
    <t>第81年</t>
  </si>
  <si>
    <t>第82年</t>
  </si>
  <si>
    <t>第83年</t>
  </si>
  <si>
    <t>第84年</t>
  </si>
  <si>
    <t>第85年</t>
  </si>
  <si>
    <t>第86年</t>
  </si>
  <si>
    <t>第87年</t>
  </si>
  <si>
    <t>第88年</t>
  </si>
  <si>
    <t>第89年</t>
  </si>
  <si>
    <t>第90年</t>
  </si>
  <si>
    <t>第91年</t>
  </si>
  <si>
    <t>第92年</t>
  </si>
  <si>
    <t>第93年</t>
  </si>
  <si>
    <t>第94年</t>
  </si>
  <si>
    <t>第95年</t>
  </si>
  <si>
    <t>第96年</t>
  </si>
  <si>
    <t>第97年</t>
  </si>
  <si>
    <t>第98年</t>
  </si>
  <si>
    <t>第99年</t>
  </si>
  <si>
    <t>第100年</t>
  </si>
  <si>
    <t>第101年</t>
  </si>
  <si>
    <t>第102年</t>
  </si>
  <si>
    <t>第103年</t>
  </si>
  <si>
    <t>第104年</t>
  </si>
  <si>
    <t>第105年</t>
  </si>
  <si>
    <t>第106年</t>
  </si>
  <si>
    <t>第107年</t>
  </si>
  <si>
    <t>第108年</t>
  </si>
  <si>
    <t>第109年</t>
  </si>
  <si>
    <t>第110年</t>
  </si>
  <si>
    <t>第111年</t>
  </si>
  <si>
    <t>第112年</t>
  </si>
  <si>
    <t>第113年</t>
  </si>
  <si>
    <t>第114年</t>
  </si>
  <si>
    <t>第115年</t>
  </si>
  <si>
    <t>第116年</t>
  </si>
  <si>
    <t>第117年</t>
  </si>
  <si>
    <t>第118年</t>
  </si>
  <si>
    <t>第119年</t>
  </si>
  <si>
    <t>第120年</t>
  </si>
  <si>
    <t>第121年</t>
  </si>
  <si>
    <t>第122年</t>
  </si>
  <si>
    <t>第123年</t>
  </si>
  <si>
    <t>第124年</t>
  </si>
  <si>
    <t>第125年</t>
  </si>
  <si>
    <t>第126年</t>
  </si>
  <si>
    <t>第127年</t>
  </si>
  <si>
    <t>第128年</t>
  </si>
  <si>
    <t>第129年</t>
  </si>
  <si>
    <t>第130年</t>
  </si>
  <si>
    <t>第131年</t>
  </si>
  <si>
    <t>第132年</t>
  </si>
  <si>
    <t>第133年</t>
  </si>
  <si>
    <t>第134年</t>
  </si>
  <si>
    <t>第135年</t>
  </si>
  <si>
    <t>第136年</t>
  </si>
  <si>
    <t>第137年</t>
  </si>
  <si>
    <t>第138年</t>
  </si>
  <si>
    <t>第139年</t>
  </si>
  <si>
    <t>第140年</t>
  </si>
  <si>
    <t>第141年</t>
  </si>
  <si>
    <t>第142年</t>
  </si>
  <si>
    <t>第143年</t>
  </si>
  <si>
    <t>第144年</t>
  </si>
  <si>
    <t>第145年</t>
  </si>
  <si>
    <t>第146年</t>
  </si>
  <si>
    <t>第147年</t>
  </si>
  <si>
    <t>第148年</t>
  </si>
  <si>
    <t>第149年</t>
  </si>
  <si>
    <t>第150年</t>
  </si>
  <si>
    <t>第151年</t>
  </si>
  <si>
    <t>第152年</t>
  </si>
  <si>
    <t>第153年</t>
  </si>
  <si>
    <t>第154年</t>
  </si>
  <si>
    <t>第155年</t>
  </si>
  <si>
    <t>第156年</t>
  </si>
  <si>
    <t>第157年</t>
  </si>
  <si>
    <t>第158年</t>
  </si>
  <si>
    <t>第159年</t>
  </si>
  <si>
    <t>第160年</t>
  </si>
  <si>
    <t>第161年</t>
  </si>
  <si>
    <t>第162年</t>
  </si>
  <si>
    <t>第163年</t>
  </si>
  <si>
    <t>第164年</t>
  </si>
  <si>
    <t>第165年</t>
  </si>
  <si>
    <t>第166年</t>
  </si>
  <si>
    <t>第167年</t>
  </si>
  <si>
    <t>第168年</t>
  </si>
  <si>
    <t>第169年</t>
  </si>
  <si>
    <t>第170年</t>
  </si>
  <si>
    <t>第171年</t>
  </si>
  <si>
    <t>第172年</t>
  </si>
  <si>
    <t>第173年</t>
  </si>
  <si>
    <t>第174年</t>
  </si>
  <si>
    <t>第175年</t>
  </si>
  <si>
    <t>第176年</t>
  </si>
  <si>
    <t>第177年</t>
  </si>
  <si>
    <t>第178年</t>
  </si>
  <si>
    <t>第179年</t>
  </si>
  <si>
    <t>第180年</t>
  </si>
  <si>
    <t>第181年</t>
  </si>
  <si>
    <t>第182年</t>
  </si>
  <si>
    <t>第183年</t>
  </si>
  <si>
    <t>第184年</t>
  </si>
  <si>
    <t>第185年</t>
  </si>
  <si>
    <t>第186年</t>
  </si>
  <si>
    <t>第187年</t>
  </si>
  <si>
    <t>第188年</t>
  </si>
  <si>
    <t>第189年</t>
  </si>
  <si>
    <t>第190年</t>
  </si>
  <si>
    <t>第191年</t>
  </si>
  <si>
    <t>第192年</t>
  </si>
  <si>
    <t>第193年</t>
  </si>
  <si>
    <t>第194年</t>
  </si>
  <si>
    <t>第195年</t>
  </si>
  <si>
    <t>第196年</t>
  </si>
  <si>
    <t>第197年</t>
  </si>
  <si>
    <t>第198年</t>
  </si>
  <si>
    <t>第199年</t>
  </si>
  <si>
    <t>第200年</t>
  </si>
  <si>
    <t>=0.422/（1+9%）</t>
    <phoneticPr fontId="4" type="noConversion"/>
  </si>
  <si>
    <t>=B16*D16</t>
    <phoneticPr fontId="4" type="noConversion"/>
  </si>
  <si>
    <t>现金流折现求和：亿美元</t>
    <phoneticPr fontId="4" type="noConversion"/>
  </si>
  <si>
    <t>1-10年</t>
    <phoneticPr fontId="4" type="noConversion"/>
  </si>
  <si>
    <t>现金流折现</t>
    <phoneticPr fontId="4" type="noConversion"/>
  </si>
  <si>
    <t>11-30年</t>
    <phoneticPr fontId="4" type="noConversion"/>
  </si>
  <si>
    <t>=对F15到F34求和</t>
    <phoneticPr fontId="4" type="noConversion"/>
  </si>
  <si>
    <t>11-100年</t>
    <phoneticPr fontId="4" type="noConversion"/>
  </si>
  <si>
    <t>第201年</t>
  </si>
  <si>
    <t>第202年</t>
  </si>
  <si>
    <t>第203年</t>
  </si>
  <si>
    <t>第204年</t>
  </si>
  <si>
    <t>第205年</t>
  </si>
  <si>
    <t>第206年</t>
  </si>
  <si>
    <t>第207年</t>
  </si>
  <si>
    <t>第208年</t>
  </si>
  <si>
    <t>第209年</t>
  </si>
  <si>
    <t>第210年</t>
  </si>
  <si>
    <t>第211年</t>
  </si>
  <si>
    <t>第212年</t>
  </si>
  <si>
    <t>第213年</t>
  </si>
  <si>
    <t>第214年</t>
  </si>
  <si>
    <t>第215年</t>
  </si>
  <si>
    <t>第216年</t>
  </si>
  <si>
    <t>第217年</t>
  </si>
  <si>
    <t>第218年</t>
  </si>
  <si>
    <t>第219年</t>
  </si>
  <si>
    <t>第220年</t>
  </si>
  <si>
    <t>第221年</t>
  </si>
  <si>
    <t>第222年</t>
  </si>
  <si>
    <t>第223年</t>
  </si>
  <si>
    <t>第224年</t>
  </si>
  <si>
    <t>第225年</t>
  </si>
  <si>
    <t>第226年</t>
  </si>
  <si>
    <t>第227年</t>
  </si>
  <si>
    <t>第228年</t>
  </si>
  <si>
    <t>第229年</t>
  </si>
  <si>
    <t>第230年</t>
  </si>
  <si>
    <t>第231年</t>
  </si>
  <si>
    <t>第232年</t>
  </si>
  <si>
    <t>第233年</t>
  </si>
  <si>
    <t>第234年</t>
  </si>
  <si>
    <t>第235年</t>
  </si>
  <si>
    <t>第236年</t>
  </si>
  <si>
    <t>第237年</t>
  </si>
  <si>
    <t>第238年</t>
  </si>
  <si>
    <t>第239年</t>
  </si>
  <si>
    <t>第240年</t>
  </si>
  <si>
    <t>第241年</t>
  </si>
  <si>
    <t>第242年</t>
  </si>
  <si>
    <t>第243年</t>
  </si>
  <si>
    <t>第244年</t>
  </si>
  <si>
    <t>第245年</t>
  </si>
  <si>
    <t>第246年</t>
  </si>
  <si>
    <t>第247年</t>
  </si>
  <si>
    <t>第248年</t>
  </si>
  <si>
    <t>第249年</t>
  </si>
  <si>
    <t>第250年</t>
  </si>
  <si>
    <t>第251年</t>
  </si>
  <si>
    <t>第252年</t>
  </si>
  <si>
    <t>第253年</t>
  </si>
  <si>
    <t>第254年</t>
  </si>
  <si>
    <t>第255年</t>
  </si>
  <si>
    <t>第256年</t>
  </si>
  <si>
    <t>第257年</t>
  </si>
  <si>
    <t>第258年</t>
  </si>
  <si>
    <t>第259年</t>
  </si>
  <si>
    <t>第260年</t>
  </si>
  <si>
    <t>第261年</t>
  </si>
  <si>
    <t>第262年</t>
  </si>
  <si>
    <t>第263年</t>
  </si>
  <si>
    <t>第264年</t>
  </si>
  <si>
    <t>第265年</t>
  </si>
  <si>
    <t>第266年</t>
  </si>
  <si>
    <t>第267年</t>
  </si>
  <si>
    <t>第268年</t>
  </si>
  <si>
    <t>第269年</t>
  </si>
  <si>
    <t>第270年</t>
  </si>
  <si>
    <t>第271年</t>
  </si>
  <si>
    <t>第272年</t>
  </si>
  <si>
    <t>第273年</t>
  </si>
  <si>
    <t>第274年</t>
  </si>
  <si>
    <t>第275年</t>
  </si>
  <si>
    <t>第276年</t>
  </si>
  <si>
    <t>第277年</t>
  </si>
  <si>
    <t>第278年</t>
  </si>
  <si>
    <t>第279年</t>
  </si>
  <si>
    <t>第280年</t>
  </si>
  <si>
    <t>第281年</t>
  </si>
  <si>
    <t>第282年</t>
  </si>
  <si>
    <t>第283年</t>
  </si>
  <si>
    <t>第284年</t>
  </si>
  <si>
    <t>第285年</t>
  </si>
  <si>
    <t>第286年</t>
  </si>
  <si>
    <t>第287年</t>
  </si>
  <si>
    <t>第288年</t>
  </si>
  <si>
    <t>第289年</t>
  </si>
  <si>
    <t>第290年</t>
  </si>
  <si>
    <t>第291年</t>
  </si>
  <si>
    <t>第292年</t>
  </si>
  <si>
    <t>第293年</t>
  </si>
  <si>
    <t>第294年</t>
  </si>
  <si>
    <t>第295年</t>
  </si>
  <si>
    <t>第296年</t>
  </si>
  <si>
    <t>第297年</t>
  </si>
  <si>
    <t>第298年</t>
  </si>
  <si>
    <t>第299年</t>
  </si>
  <si>
    <t>第300年</t>
  </si>
  <si>
    <t>第301年</t>
  </si>
  <si>
    <t>第302年</t>
  </si>
  <si>
    <t>第303年</t>
  </si>
  <si>
    <t>第304年</t>
  </si>
  <si>
    <t>第305年</t>
  </si>
  <si>
    <t>第306年</t>
  </si>
  <si>
    <t>第307年</t>
  </si>
  <si>
    <t>第308年</t>
  </si>
  <si>
    <t>第309年</t>
  </si>
  <si>
    <t>第310年</t>
  </si>
  <si>
    <t>第311年</t>
  </si>
  <si>
    <t>第312年</t>
  </si>
  <si>
    <t>第313年</t>
  </si>
  <si>
    <t>第314年</t>
  </si>
  <si>
    <t>第315年</t>
  </si>
  <si>
    <t>第316年</t>
  </si>
  <si>
    <t>第317年</t>
  </si>
  <si>
    <t>第318年</t>
  </si>
  <si>
    <t>第319年</t>
  </si>
  <si>
    <t>第320年</t>
  </si>
  <si>
    <t>第321年</t>
  </si>
  <si>
    <t>第322年</t>
  </si>
  <si>
    <t>第323年</t>
  </si>
  <si>
    <t>第324年</t>
  </si>
  <si>
    <t>第325年</t>
  </si>
  <si>
    <t>第326年</t>
  </si>
  <si>
    <t>第327年</t>
  </si>
  <si>
    <t>第328年</t>
  </si>
  <si>
    <t>第329年</t>
  </si>
  <si>
    <t>第330年</t>
  </si>
  <si>
    <t>第331年</t>
  </si>
  <si>
    <t>第332年</t>
  </si>
  <si>
    <t>第333年</t>
  </si>
  <si>
    <t>第334年</t>
  </si>
  <si>
    <t>第335年</t>
  </si>
  <si>
    <t>第336年</t>
  </si>
  <si>
    <t>第337年</t>
  </si>
  <si>
    <t>第338年</t>
  </si>
  <si>
    <t>第339年</t>
  </si>
  <si>
    <t>第340年</t>
  </si>
  <si>
    <t>第341年</t>
  </si>
  <si>
    <t>第342年</t>
  </si>
  <si>
    <t>第343年</t>
  </si>
  <si>
    <t>第344年</t>
  </si>
  <si>
    <t>第345年</t>
  </si>
  <si>
    <t>第346年</t>
  </si>
  <si>
    <t>第347年</t>
  </si>
  <si>
    <t>第348年</t>
  </si>
  <si>
    <t>第349年</t>
  </si>
  <si>
    <t>第350年</t>
  </si>
  <si>
    <t>第351年</t>
  </si>
  <si>
    <t>第352年</t>
  </si>
  <si>
    <t>第353年</t>
  </si>
  <si>
    <t>第354年</t>
  </si>
  <si>
    <t>第355年</t>
  </si>
  <si>
    <t>第356年</t>
  </si>
  <si>
    <t>第357年</t>
  </si>
  <si>
    <t>第358年</t>
  </si>
  <si>
    <t>第359年</t>
  </si>
  <si>
    <t>第360年</t>
  </si>
  <si>
    <t>第361年</t>
  </si>
  <si>
    <t>第362年</t>
  </si>
  <si>
    <t>第363年</t>
  </si>
  <si>
    <t>第364年</t>
  </si>
  <si>
    <t>第365年</t>
  </si>
  <si>
    <t>第366年</t>
  </si>
  <si>
    <t>第367年</t>
  </si>
  <si>
    <t>第368年</t>
  </si>
  <si>
    <t>第369年</t>
  </si>
  <si>
    <t>第370年</t>
  </si>
  <si>
    <t>第371年</t>
  </si>
  <si>
    <t>第372年</t>
  </si>
  <si>
    <t>第373年</t>
  </si>
  <si>
    <t>第374年</t>
  </si>
  <si>
    <t>第375年</t>
  </si>
  <si>
    <t>第376年</t>
  </si>
  <si>
    <t>第377年</t>
  </si>
  <si>
    <t>第378年</t>
  </si>
  <si>
    <t>第379年</t>
  </si>
  <si>
    <t>第380年</t>
  </si>
  <si>
    <t>第381年</t>
  </si>
  <si>
    <t>第382年</t>
  </si>
  <si>
    <t>第383年</t>
  </si>
  <si>
    <t>第384年</t>
  </si>
  <si>
    <t>第385年</t>
  </si>
  <si>
    <t>第386年</t>
  </si>
  <si>
    <t>第387年</t>
  </si>
  <si>
    <t>第388年</t>
  </si>
  <si>
    <t>第389年</t>
  </si>
  <si>
    <t>第390年</t>
  </si>
  <si>
    <t>第391年</t>
  </si>
  <si>
    <t>第392年</t>
  </si>
  <si>
    <t>第393年</t>
  </si>
  <si>
    <t>第394年</t>
  </si>
  <si>
    <t>第395年</t>
  </si>
  <si>
    <t>第396年</t>
  </si>
  <si>
    <t>第397年</t>
  </si>
  <si>
    <t>第398年</t>
  </si>
  <si>
    <t>第399年</t>
  </si>
  <si>
    <t>第400年</t>
  </si>
  <si>
    <t>第401年</t>
  </si>
  <si>
    <t>第402年</t>
  </si>
  <si>
    <t>第403年</t>
  </si>
  <si>
    <t>第404年</t>
  </si>
  <si>
    <t>第405年</t>
  </si>
  <si>
    <t>第406年</t>
  </si>
  <si>
    <t>第407年</t>
  </si>
  <si>
    <t>第408年</t>
  </si>
  <si>
    <t>第409年</t>
  </si>
  <si>
    <t>第410年</t>
  </si>
  <si>
    <t>第411年</t>
  </si>
  <si>
    <t>第412年</t>
  </si>
  <si>
    <t>第413年</t>
  </si>
  <si>
    <t>第414年</t>
  </si>
  <si>
    <t>第415年</t>
  </si>
  <si>
    <t>第416年</t>
  </si>
  <si>
    <t>第417年</t>
  </si>
  <si>
    <t>第418年</t>
  </si>
  <si>
    <t>第419年</t>
  </si>
  <si>
    <t>第420年</t>
  </si>
  <si>
    <t>第421年</t>
  </si>
  <si>
    <t>第422年</t>
  </si>
  <si>
    <t>第423年</t>
  </si>
  <si>
    <t>第424年</t>
  </si>
  <si>
    <t>第425年</t>
  </si>
  <si>
    <t>第426年</t>
  </si>
  <si>
    <t>第427年</t>
  </si>
  <si>
    <t>第428年</t>
  </si>
  <si>
    <t>第429年</t>
  </si>
  <si>
    <t>第430年</t>
  </si>
  <si>
    <t>第431年</t>
  </si>
  <si>
    <t>第432年</t>
  </si>
  <si>
    <t>第433年</t>
  </si>
  <si>
    <t>第434年</t>
  </si>
  <si>
    <t>第435年</t>
  </si>
  <si>
    <t>第436年</t>
  </si>
  <si>
    <t>第437年</t>
  </si>
  <si>
    <t>第438年</t>
  </si>
  <si>
    <t>第439年</t>
  </si>
  <si>
    <t>第440年</t>
  </si>
  <si>
    <t>第441年</t>
  </si>
  <si>
    <t>第442年</t>
  </si>
  <si>
    <t>第443年</t>
  </si>
  <si>
    <t>第444年</t>
  </si>
  <si>
    <t>第445年</t>
  </si>
  <si>
    <t>第446年</t>
  </si>
  <si>
    <t>第447年</t>
  </si>
  <si>
    <t>第448年</t>
  </si>
  <si>
    <t>第449年</t>
  </si>
  <si>
    <t>第450年</t>
  </si>
  <si>
    <t>第451年</t>
  </si>
  <si>
    <t>第452年</t>
  </si>
  <si>
    <t>第453年</t>
  </si>
  <si>
    <t>第454年</t>
  </si>
  <si>
    <t>第455年</t>
  </si>
  <si>
    <t>第456年</t>
  </si>
  <si>
    <t>第457年</t>
  </si>
  <si>
    <t>第458年</t>
  </si>
  <si>
    <t>第459年</t>
  </si>
  <si>
    <t>第460年</t>
  </si>
  <si>
    <t>第461年</t>
  </si>
  <si>
    <t>第462年</t>
  </si>
  <si>
    <t>第463年</t>
  </si>
  <si>
    <t>第464年</t>
  </si>
  <si>
    <t>第465年</t>
  </si>
  <si>
    <t>第466年</t>
  </si>
  <si>
    <t>第467年</t>
  </si>
  <si>
    <t>第468年</t>
  </si>
  <si>
    <t>第469年</t>
  </si>
  <si>
    <t>第470年</t>
  </si>
  <si>
    <t>第471年</t>
  </si>
  <si>
    <t>第472年</t>
  </si>
  <si>
    <t>第473年</t>
  </si>
  <si>
    <t>第474年</t>
  </si>
  <si>
    <t>第475年</t>
  </si>
  <si>
    <t>第476年</t>
  </si>
  <si>
    <t>第477年</t>
  </si>
  <si>
    <t>第478年</t>
  </si>
  <si>
    <t>第479年</t>
  </si>
  <si>
    <t>第480年</t>
  </si>
  <si>
    <t>第481年</t>
  </si>
  <si>
    <t>第482年</t>
  </si>
  <si>
    <t>第483年</t>
  </si>
  <si>
    <t>第484年</t>
  </si>
  <si>
    <t>第485年</t>
  </si>
  <si>
    <t>第486年</t>
  </si>
  <si>
    <t>第487年</t>
  </si>
  <si>
    <t>第488年</t>
  </si>
  <si>
    <t>第489年</t>
  </si>
  <si>
    <t>第490年</t>
  </si>
  <si>
    <t>第491年</t>
  </si>
  <si>
    <t>第492年</t>
  </si>
  <si>
    <t>第493年</t>
  </si>
  <si>
    <t>第494年</t>
  </si>
  <si>
    <t>第495年</t>
  </si>
  <si>
    <t>第496年</t>
  </si>
  <si>
    <t>第497年</t>
  </si>
  <si>
    <t>第498年</t>
  </si>
  <si>
    <t>第499年</t>
  </si>
  <si>
    <t>第500年</t>
  </si>
  <si>
    <t>11-500年</t>
    <phoneticPr fontId="4" type="noConversion"/>
  </si>
  <si>
    <t>=对F15到F104求和</t>
    <phoneticPr fontId="4" type="noConversion"/>
  </si>
  <si>
    <t>=对F15到F504求和</t>
    <phoneticPr fontId="4" type="noConversion"/>
  </si>
  <si>
    <t>其实10年后的求和有一个简单的算法</t>
    <phoneticPr fontId="4" type="noConversion"/>
  </si>
  <si>
    <t>两部分相加</t>
    <phoneticPr fontId="4" type="noConversion"/>
  </si>
  <si>
    <t>10年内每年增长5%</t>
  </si>
  <si>
    <t>=B2*（1+5%）</t>
    <phoneticPr fontId="4" type="noConversion"/>
  </si>
  <si>
    <t>=B4*（1+5%）</t>
    <phoneticPr fontId="4" type="noConversion"/>
  </si>
  <si>
    <t>=B5*（1+5%）</t>
    <phoneticPr fontId="4" type="noConversion"/>
  </si>
  <si>
    <t>=B6*（1+5%）</t>
    <phoneticPr fontId="4" type="noConversion"/>
  </si>
  <si>
    <t>=B7*（1+5%）</t>
    <phoneticPr fontId="4" type="noConversion"/>
  </si>
  <si>
    <t>=B8*（1+5%）</t>
    <phoneticPr fontId="4" type="noConversion"/>
  </si>
  <si>
    <t>=B9*（1+5%）</t>
    <phoneticPr fontId="4" type="noConversion"/>
  </si>
  <si>
    <t>=B10*（1+5%）</t>
    <phoneticPr fontId="4" type="noConversion"/>
  </si>
  <si>
    <t>=B11*（1+5%）</t>
    <phoneticPr fontId="4" type="noConversion"/>
  </si>
  <si>
    <t>=B12*（1+5%）</t>
    <phoneticPr fontId="4" type="noConversion"/>
  </si>
  <si>
    <t>=B13*（1+5%）</t>
    <phoneticPr fontId="4" type="noConversion"/>
  </si>
  <si>
    <t>=B15*（1+5%）</t>
    <phoneticPr fontId="4" type="noConversion"/>
  </si>
  <si>
    <t>再进一步折合到最新的现值354*0.422=149亿</t>
    <phoneticPr fontId="4" type="noConversion"/>
  </si>
  <si>
    <t>=对F4到F5求和</t>
    <phoneticPr fontId="4" type="noConversion"/>
  </si>
  <si>
    <t>=对F4到F6求和</t>
  </si>
  <si>
    <t>=对F4到F4求和</t>
    <phoneticPr fontId="4" type="noConversion"/>
  </si>
  <si>
    <t>=对F4到F7求和</t>
  </si>
  <si>
    <t>=对F4到F8求和</t>
  </si>
  <si>
    <t>=对F4到F9求和</t>
  </si>
  <si>
    <t>=对F4到F10求和</t>
  </si>
  <si>
    <t>=对F4到F11求和</t>
  </si>
  <si>
    <t>=对F4到F12求和</t>
  </si>
  <si>
    <t>=对F4到F15求和</t>
  </si>
  <si>
    <t>=对F4到F16求和</t>
  </si>
  <si>
    <t>=对F4到F17求和</t>
  </si>
  <si>
    <t>=对F4到F18求和</t>
  </si>
  <si>
    <t>=对F4到F19求和</t>
  </si>
  <si>
    <t>=对F4到F20求和</t>
  </si>
  <si>
    <t>=对F4到F21求和</t>
  </si>
  <si>
    <t>=对F4到F22求和</t>
  </si>
  <si>
    <t>=对F4到F23求和</t>
  </si>
  <si>
    <t>=对F4到F24求和</t>
  </si>
  <si>
    <t>=对F4到F25求和</t>
  </si>
  <si>
    <t>=对F4到F26求和</t>
  </si>
  <si>
    <t>=对F4到F27求和</t>
  </si>
  <si>
    <t>=对F4到F28求和</t>
  </si>
  <si>
    <t>=对F4到F29求和</t>
  </si>
  <si>
    <t>=对F4到F30求和</t>
  </si>
  <si>
    <t>=对F4到F31求和</t>
  </si>
  <si>
    <t>=对F4到F32求和</t>
  </si>
  <si>
    <t>=对F4到F33求和</t>
  </si>
  <si>
    <t>=对F4到F34求和</t>
  </si>
  <si>
    <t>=对F4到F35求和</t>
  </si>
  <si>
    <t>=对F4到F36求和</t>
  </si>
  <si>
    <t>=对F4到F37求和</t>
  </si>
  <si>
    <t>=对F4到F38求和</t>
  </si>
  <si>
    <t>=对F4到F39求和</t>
  </si>
  <si>
    <t>=对F4到F40求和</t>
  </si>
  <si>
    <t>=对F4到F41求和</t>
  </si>
  <si>
    <t>=对F4到F42求和</t>
  </si>
  <si>
    <t>=对F4到F43求和</t>
  </si>
  <si>
    <t>=对F4到F44求和</t>
  </si>
  <si>
    <t>=对F4到F45求和</t>
  </si>
  <si>
    <t>=对F4到F46求和</t>
  </si>
  <si>
    <t>=对F4到F47求和</t>
  </si>
  <si>
    <t>=对F4到F48求和</t>
  </si>
  <si>
    <t>=对F4到F49求和</t>
  </si>
  <si>
    <t>=对F4到F50求和</t>
  </si>
  <si>
    <t>=对F4到F51求和</t>
  </si>
  <si>
    <t>=对F4到F52求和</t>
  </si>
  <si>
    <t>=对F4到F53求和</t>
  </si>
  <si>
    <t>=对F4到F54求和</t>
  </si>
  <si>
    <t>=对F4到F55求和</t>
  </si>
  <si>
    <t>=对F4到F56求和</t>
  </si>
  <si>
    <t>=对F4到F57求和</t>
  </si>
  <si>
    <t>=对F4到F58求和</t>
  </si>
  <si>
    <t>=对F4到F59求和</t>
  </si>
  <si>
    <t>=对F4到F60求和</t>
  </si>
  <si>
    <t>=对F4到F61求和</t>
  </si>
  <si>
    <t>=对F4到F62求和</t>
  </si>
  <si>
    <t>=对F4到F63求和</t>
  </si>
  <si>
    <t>=对F4到F64求和</t>
  </si>
  <si>
    <t>=对F4到F65求和</t>
  </si>
  <si>
    <t>=对F4到F66求和</t>
  </si>
  <si>
    <t>=对F4到F67求和</t>
  </si>
  <si>
    <t>=对F4到F68求和</t>
  </si>
  <si>
    <t>=对F4到F69求和</t>
  </si>
  <si>
    <t>=对F4到F70求和</t>
  </si>
  <si>
    <t>=对F4到F71求和</t>
  </si>
  <si>
    <t>=对F4到F72求和</t>
  </si>
  <si>
    <t>=对F4到F73求和</t>
  </si>
  <si>
    <t>=对F4到F74求和</t>
  </si>
  <si>
    <t>=对F4到F75求和</t>
  </si>
  <si>
    <t>=对F4到F76求和</t>
  </si>
  <si>
    <t>=对F4到F77求和</t>
  </si>
  <si>
    <t>=对F4到F78求和</t>
  </si>
  <si>
    <t>=对F4到F79求和</t>
  </si>
  <si>
    <t>=对F4到F80求和</t>
  </si>
  <si>
    <t>=对F4到F81求和</t>
  </si>
  <si>
    <t>=对F4到F82求和</t>
  </si>
  <si>
    <t>=对F4到F83求和</t>
  </si>
  <si>
    <t>=对F4到F84求和</t>
  </si>
  <si>
    <t>=对F4到F85求和</t>
  </si>
  <si>
    <t>=对F4到F86求和</t>
  </si>
  <si>
    <t>=对F4到F87求和</t>
  </si>
  <si>
    <t>=对F4到F88求和</t>
  </si>
  <si>
    <t>=对F4到F89求和</t>
  </si>
  <si>
    <t>=对F4到F90求和</t>
  </si>
  <si>
    <t>=对F4到F91求和</t>
  </si>
  <si>
    <t>=对F4到F92求和</t>
  </si>
  <si>
    <t>=对F4到F93求和</t>
  </si>
  <si>
    <t>=对F4到F94求和</t>
  </si>
  <si>
    <t>=对F4到F95求和</t>
  </si>
  <si>
    <t>=对F4到F96求和</t>
  </si>
  <si>
    <t>=对F4到F97求和</t>
  </si>
  <si>
    <t>=对F4到F98求和</t>
  </si>
  <si>
    <t>=对F4到F99求和</t>
  </si>
  <si>
    <t>=对F4到F100求和</t>
  </si>
  <si>
    <t>=对F4到F101求和</t>
  </si>
  <si>
    <t>=对F4到F102求和</t>
  </si>
  <si>
    <t>=对F4到F103求和</t>
  </si>
  <si>
    <t>=对F4到F104求和</t>
  </si>
  <si>
    <t>=对F4到F105求和</t>
  </si>
  <si>
    <t>=对F4到F106求和</t>
  </si>
  <si>
    <t>=对F4到F107求和</t>
  </si>
  <si>
    <t>=对F4到F108求和</t>
  </si>
  <si>
    <t>=对F4到F109求和</t>
  </si>
  <si>
    <t>=对F4到F110求和</t>
  </si>
  <si>
    <t>=对F4到F111求和</t>
  </si>
  <si>
    <t>=对F4到F112求和</t>
  </si>
  <si>
    <t>=对F4到F113求和</t>
  </si>
  <si>
    <t>=对F4到F114求和</t>
  </si>
  <si>
    <t>=对F4到F115求和</t>
  </si>
  <si>
    <t>=对F4到F116求和</t>
  </si>
  <si>
    <t>=对F4到F117求和</t>
  </si>
  <si>
    <t>=对F4到F118求和</t>
  </si>
  <si>
    <t>=对F4到F119求和</t>
  </si>
  <si>
    <t>=对F4到F120求和</t>
  </si>
  <si>
    <t>=对F4到F121求和</t>
  </si>
  <si>
    <t>=对F4到F122求和</t>
  </si>
  <si>
    <t>=对F4到F123求和</t>
  </si>
  <si>
    <t>=对F4到F124求和</t>
  </si>
  <si>
    <t>=对F4到F125求和</t>
  </si>
  <si>
    <t>=对F4到F126求和</t>
  </si>
  <si>
    <t>=对F4到F127求和</t>
  </si>
  <si>
    <t>=对F4到F128求和</t>
  </si>
  <si>
    <t>=对F4到F129求和</t>
  </si>
  <si>
    <t>=对F4到F130求和</t>
  </si>
  <si>
    <t>=对F4到F131求和</t>
  </si>
  <si>
    <t>=对F4到F132求和</t>
  </si>
  <si>
    <t>=对F4到F133求和</t>
  </si>
  <si>
    <t>=对F4到F134求和</t>
  </si>
  <si>
    <t>=对F4到F135求和</t>
  </si>
  <si>
    <t>=对F4到F136求和</t>
  </si>
  <si>
    <t>=对F4到F137求和</t>
  </si>
  <si>
    <t>=对F4到F138求和</t>
  </si>
  <si>
    <t>=对F4到F139求和</t>
  </si>
  <si>
    <t>=对F4到F140求和</t>
  </si>
  <si>
    <t>=对F4到F141求和</t>
  </si>
  <si>
    <t>=对F4到F142求和</t>
  </si>
  <si>
    <t>=对F4到F143求和</t>
  </si>
  <si>
    <t>=对F4到F144求和</t>
  </si>
  <si>
    <t>=对F4到F145求和</t>
  </si>
  <si>
    <t>=对F4到F146求和</t>
  </si>
  <si>
    <t>=对F4到F147求和</t>
  </si>
  <si>
    <t>=对F4到F148求和</t>
  </si>
  <si>
    <t>=对F4到F149求和</t>
  </si>
  <si>
    <t>=对F4到F150求和</t>
  </si>
  <si>
    <t>=对F4到F151求和</t>
  </si>
  <si>
    <t>=对F4到F152求和</t>
  </si>
  <si>
    <t>=对F4到F153求和</t>
  </si>
  <si>
    <t>=对F4到F154求和</t>
  </si>
  <si>
    <t>=对F4到F155求和</t>
  </si>
  <si>
    <t>=对F4到F156求和</t>
  </si>
  <si>
    <t>=对F4到F157求和</t>
  </si>
  <si>
    <t>=对F4到F158求和</t>
  </si>
  <si>
    <t>=对F4到F159求和</t>
  </si>
  <si>
    <t>=对F4到F160求和</t>
  </si>
  <si>
    <t>=对F4到F161求和</t>
  </si>
  <si>
    <t>=对F4到F162求和</t>
  </si>
  <si>
    <t>=对F4到F163求和</t>
  </si>
  <si>
    <t>=对F4到F164求和</t>
  </si>
  <si>
    <t>=对F4到F165求和</t>
  </si>
  <si>
    <t>=对F4到F166求和</t>
  </si>
  <si>
    <t>=对F4到F167求和</t>
  </si>
  <si>
    <t>=对F4到F168求和</t>
  </si>
  <si>
    <t>=对F4到F169求和</t>
  </si>
  <si>
    <t>=对F4到F170求和</t>
  </si>
  <si>
    <t>=对F4到F171求和</t>
  </si>
  <si>
    <t>=对F4到F172求和</t>
  </si>
  <si>
    <t>=对F4到F173求和</t>
  </si>
  <si>
    <t>=对F4到F174求和</t>
  </si>
  <si>
    <t>=对F4到F175求和</t>
  </si>
  <si>
    <t>=对F4到F176求和</t>
  </si>
  <si>
    <t>=对F4到F177求和</t>
  </si>
  <si>
    <t>=对F4到F178求和</t>
  </si>
  <si>
    <t>=对F4到F179求和</t>
  </si>
  <si>
    <t>=对F4到F180求和</t>
  </si>
  <si>
    <t>=对F4到F181求和</t>
  </si>
  <si>
    <t>=对F4到F182求和</t>
  </si>
  <si>
    <t>=对F4到F183求和</t>
  </si>
  <si>
    <t>=对F4到F184求和</t>
  </si>
  <si>
    <t>=对F4到F185求和</t>
  </si>
  <si>
    <t>=对F4到F186求和</t>
  </si>
  <si>
    <t>=对F4到F187求和</t>
  </si>
  <si>
    <t>=对F4到F188求和</t>
  </si>
  <si>
    <t>=对F4到F189求和</t>
  </si>
  <si>
    <t>=对F4到F190求和</t>
  </si>
  <si>
    <t>=对F4到F191求和</t>
  </si>
  <si>
    <t>=对F4到F192求和</t>
  </si>
  <si>
    <t>=对F4到F193求和</t>
  </si>
  <si>
    <t>=对F4到F194求和</t>
  </si>
  <si>
    <t>=对F4到F195求和</t>
  </si>
  <si>
    <t>=对F4到F196求和</t>
  </si>
  <si>
    <t>=对F4到F197求和</t>
  </si>
  <si>
    <t>=对F4到F198求和</t>
  </si>
  <si>
    <t>=对F4到F199求和</t>
  </si>
  <si>
    <t>=对F4到F200求和</t>
  </si>
  <si>
    <t>=对F4到F201求和</t>
  </si>
  <si>
    <t>=对F4到F202求和</t>
  </si>
  <si>
    <t>=对F4到F203求和</t>
  </si>
  <si>
    <t>=对F4到F204求和</t>
  </si>
  <si>
    <t>=对F4到F205求和</t>
  </si>
  <si>
    <t>=对F4到F206求和</t>
  </si>
  <si>
    <t>=对F4到F207求和</t>
  </si>
  <si>
    <t>=对F4到F208求和</t>
  </si>
  <si>
    <t>=对F4到F209求和</t>
  </si>
  <si>
    <t>=对F4到F210求和</t>
  </si>
  <si>
    <t>=对F4到F211求和</t>
  </si>
  <si>
    <t>=对F4到F212求和</t>
  </si>
  <si>
    <t>=对F4到F213求和</t>
  </si>
  <si>
    <t>=对F4到F214求和</t>
  </si>
  <si>
    <t>=对F4到F215求和</t>
  </si>
  <si>
    <t>=对F4到F216求和</t>
  </si>
  <si>
    <t>=对F4到F217求和</t>
  </si>
  <si>
    <t>=对F4到F218求和</t>
  </si>
  <si>
    <t>=对F4到F219求和</t>
  </si>
  <si>
    <t>=对F4到F220求和</t>
  </si>
  <si>
    <t>=对F4到F221求和</t>
  </si>
  <si>
    <t>=对F4到F222求和</t>
  </si>
  <si>
    <t>=对F4到F223求和</t>
  </si>
  <si>
    <t>=对F4到F224求和</t>
  </si>
  <si>
    <t>=对F4到F225求和</t>
  </si>
  <si>
    <t>=对F4到F226求和</t>
  </si>
  <si>
    <t>=对F4到F227求和</t>
  </si>
  <si>
    <t>=对F4到F228求和</t>
  </si>
  <si>
    <t>=对F4到F229求和</t>
  </si>
  <si>
    <t>=对F4到F230求和</t>
  </si>
  <si>
    <t>=对F4到F231求和</t>
  </si>
  <si>
    <t>=对F4到F232求和</t>
  </si>
  <si>
    <t>=对F4到F233求和</t>
  </si>
  <si>
    <t>=对F4到F234求和</t>
  </si>
  <si>
    <t>=对F4到F235求和</t>
  </si>
  <si>
    <t>=对F4到F236求和</t>
  </si>
  <si>
    <t>=对F4到F237求和</t>
  </si>
  <si>
    <t>=对F4到F238求和</t>
  </si>
  <si>
    <t>=对F4到F239求和</t>
  </si>
  <si>
    <t>=对F4到F240求和</t>
  </si>
  <si>
    <t>=对F4到F241求和</t>
  </si>
  <si>
    <t>=对F4到F242求和</t>
  </si>
  <si>
    <t>=对F4到F243求和</t>
  </si>
  <si>
    <t>=对F4到F244求和</t>
  </si>
  <si>
    <t>=对F4到F245求和</t>
  </si>
  <si>
    <t>=对F4到F246求和</t>
  </si>
  <si>
    <t>=对F4到F247求和</t>
  </si>
  <si>
    <t>=对F4到F248求和</t>
  </si>
  <si>
    <t>=对F4到F249求和</t>
  </si>
  <si>
    <t>=对F4到F250求和</t>
  </si>
  <si>
    <t>=对F4到F251求和</t>
  </si>
  <si>
    <t>=对F4到F252求和</t>
  </si>
  <si>
    <t>=对F4到F253求和</t>
  </si>
  <si>
    <t>=对F4到F254求和</t>
  </si>
  <si>
    <t>=对F4到F255求和</t>
  </si>
  <si>
    <t>=对F4到F256求和</t>
  </si>
  <si>
    <t>=对F4到F257求和</t>
  </si>
  <si>
    <t>=对F4到F258求和</t>
  </si>
  <si>
    <t>=对F4到F259求和</t>
  </si>
  <si>
    <t>=对F4到F260求和</t>
  </si>
  <si>
    <t>=对F4到F261求和</t>
  </si>
  <si>
    <t>=对F4到F262求和</t>
  </si>
  <si>
    <t>=对F4到F263求和</t>
  </si>
  <si>
    <t>=对F4到F264求和</t>
  </si>
  <si>
    <t>=对F4到F265求和</t>
  </si>
  <si>
    <t>=对F4到F266求和</t>
  </si>
  <si>
    <t>=对F4到F267求和</t>
  </si>
  <si>
    <t>=对F4到F268求和</t>
  </si>
  <si>
    <t>=对F4到F269求和</t>
  </si>
  <si>
    <t>=对F4到F270求和</t>
  </si>
  <si>
    <t>=对F4到F271求和</t>
  </si>
  <si>
    <t>=对F4到F272求和</t>
  </si>
  <si>
    <t>=对F4到F273求和</t>
  </si>
  <si>
    <t>=对F4到F274求和</t>
  </si>
  <si>
    <t>=对F4到F275求和</t>
  </si>
  <si>
    <t>=对F4到F276求和</t>
  </si>
  <si>
    <t>=对F4到F277求和</t>
  </si>
  <si>
    <t>=对F4到F278求和</t>
  </si>
  <si>
    <t>=对F4到F279求和</t>
  </si>
  <si>
    <t>=对F4到F280求和</t>
  </si>
  <si>
    <t>=对F4到F281求和</t>
  </si>
  <si>
    <t>=对F4到F282求和</t>
  </si>
  <si>
    <t>=对F4到F283求和</t>
  </si>
  <si>
    <t>=对F4到F284求和</t>
  </si>
  <si>
    <t>=对F4到F285求和</t>
  </si>
  <si>
    <t>=对F4到F286求和</t>
  </si>
  <si>
    <t>=对F4到F287求和</t>
  </si>
  <si>
    <t>=对F4到F288求和</t>
  </si>
  <si>
    <t>=对F4到F289求和</t>
  </si>
  <si>
    <t>=对F4到F290求和</t>
  </si>
  <si>
    <t>=对F4到F291求和</t>
  </si>
  <si>
    <t>=对F4到F292求和</t>
  </si>
  <si>
    <t>=对F4到F293求和</t>
  </si>
  <si>
    <t>=对F4到F294求和</t>
  </si>
  <si>
    <t>=对F4到F295求和</t>
  </si>
  <si>
    <t>=对F4到F296求和</t>
  </si>
  <si>
    <t>=对F4到F297求和</t>
  </si>
  <si>
    <t>=对F4到F298求和</t>
  </si>
  <si>
    <t>=对F4到F299求和</t>
  </si>
  <si>
    <t>=对F4到F300求和</t>
  </si>
  <si>
    <t>=对F4到F301求和</t>
  </si>
  <si>
    <t>=对F4到F302求和</t>
  </si>
  <si>
    <t>=对F4到F303求和</t>
  </si>
  <si>
    <t>=对F4到F304求和</t>
  </si>
  <si>
    <t>=对F4到F305求和</t>
  </si>
  <si>
    <t>=对F4到F306求和</t>
  </si>
  <si>
    <t>=对F4到F307求和</t>
  </si>
  <si>
    <t>=对F4到F308求和</t>
  </si>
  <si>
    <t>=对F4到F309求和</t>
  </si>
  <si>
    <t>=对F4到F310求和</t>
  </si>
  <si>
    <t>=对F4到F311求和</t>
  </si>
  <si>
    <t>=对F4到F312求和</t>
  </si>
  <si>
    <t>=对F4到F313求和</t>
  </si>
  <si>
    <t>=对F4到F314求和</t>
  </si>
  <si>
    <t>=对F4到F315求和</t>
  </si>
  <si>
    <t>=对F4到F316求和</t>
  </si>
  <si>
    <t>=对F4到F317求和</t>
  </si>
  <si>
    <t>=对F4到F318求和</t>
  </si>
  <si>
    <t>=对F4到F319求和</t>
  </si>
  <si>
    <t>=对F4到F320求和</t>
  </si>
  <si>
    <t>=对F4到F321求和</t>
  </si>
  <si>
    <t>=对F4到F322求和</t>
  </si>
  <si>
    <t>=对F4到F323求和</t>
  </si>
  <si>
    <t>=对F4到F324求和</t>
  </si>
  <si>
    <t>=对F4到F325求和</t>
  </si>
  <si>
    <t>=对F4到F326求和</t>
  </si>
  <si>
    <t>=对F4到F327求和</t>
  </si>
  <si>
    <t>=对F4到F328求和</t>
  </si>
  <si>
    <t>=对F4到F329求和</t>
  </si>
  <si>
    <t>=对F4到F330求和</t>
  </si>
  <si>
    <t>=对F4到F331求和</t>
  </si>
  <si>
    <t>=对F4到F332求和</t>
  </si>
  <si>
    <t>=对F4到F333求和</t>
  </si>
  <si>
    <t>=对F4到F334求和</t>
  </si>
  <si>
    <t>=对F4到F335求和</t>
  </si>
  <si>
    <t>=对F4到F336求和</t>
  </si>
  <si>
    <t>=对F4到F337求和</t>
  </si>
  <si>
    <t>=对F4到F338求和</t>
  </si>
  <si>
    <t>=对F4到F339求和</t>
  </si>
  <si>
    <t>=对F4到F340求和</t>
  </si>
  <si>
    <t>=对F4到F341求和</t>
  </si>
  <si>
    <t>=对F4到F342求和</t>
  </si>
  <si>
    <t>=对F4到F343求和</t>
  </si>
  <si>
    <t>=对F4到F344求和</t>
  </si>
  <si>
    <t>=对F4到F345求和</t>
  </si>
  <si>
    <t>=对F4到F346求和</t>
  </si>
  <si>
    <t>=对F4到F347求和</t>
  </si>
  <si>
    <t>=对F4到F348求和</t>
  </si>
  <si>
    <t>=对F4到F349求和</t>
  </si>
  <si>
    <t>=对F4到F350求和</t>
  </si>
  <si>
    <t>=对F4到F351求和</t>
  </si>
  <si>
    <t>=对F4到F352求和</t>
  </si>
  <si>
    <t>=对F4到F353求和</t>
  </si>
  <si>
    <t>=对F4到F354求和</t>
  </si>
  <si>
    <t>=对F4到F355求和</t>
  </si>
  <si>
    <t>=对F4到F356求和</t>
  </si>
  <si>
    <t>=对F4到F357求和</t>
  </si>
  <si>
    <t>=对F4到F358求和</t>
  </si>
  <si>
    <t>=对F4到F359求和</t>
  </si>
  <si>
    <t>=对F4到F360求和</t>
  </si>
  <si>
    <t>=对F4到F361求和</t>
  </si>
  <si>
    <t>=对F4到F362求和</t>
  </si>
  <si>
    <t>=对F4到F363求和</t>
  </si>
  <si>
    <t>=对F4到F364求和</t>
  </si>
  <si>
    <t>=对F4到F365求和</t>
  </si>
  <si>
    <t>=对F4到F366求和</t>
  </si>
  <si>
    <t>=对F4到F367求和</t>
  </si>
  <si>
    <t>=对F4到F368求和</t>
  </si>
  <si>
    <t>=对F4到F369求和</t>
  </si>
  <si>
    <t>=对F4到F370求和</t>
  </si>
  <si>
    <t>=对F4到F371求和</t>
  </si>
  <si>
    <t>=对F4到F372求和</t>
  </si>
  <si>
    <t>=对F4到F373求和</t>
  </si>
  <si>
    <t>=对F4到F374求和</t>
  </si>
  <si>
    <t>=对F4到F375求和</t>
  </si>
  <si>
    <t>=对F4到F376求和</t>
  </si>
  <si>
    <t>=对F4到F377求和</t>
  </si>
  <si>
    <t>=对F4到F378求和</t>
  </si>
  <si>
    <t>=对F4到F379求和</t>
  </si>
  <si>
    <t>=对F4到F380求和</t>
  </si>
  <si>
    <t>=对F4到F381求和</t>
  </si>
  <si>
    <t>=对F4到F382求和</t>
  </si>
  <si>
    <t>=对F4到F383求和</t>
  </si>
  <si>
    <t>=对F4到F384求和</t>
  </si>
  <si>
    <t>=对F4到F385求和</t>
  </si>
  <si>
    <t>=对F4到F386求和</t>
  </si>
  <si>
    <t>=对F4到F387求和</t>
  </si>
  <si>
    <t>=对F4到F388求和</t>
  </si>
  <si>
    <t>=对F4到F389求和</t>
  </si>
  <si>
    <t>=对F4到F390求和</t>
  </si>
  <si>
    <t>=对F4到F391求和</t>
  </si>
  <si>
    <t>=对F4到F392求和</t>
  </si>
  <si>
    <t>=对F4到F393求和</t>
  </si>
  <si>
    <t>=对F4到F394求和</t>
  </si>
  <si>
    <t>=对F4到F395求和</t>
  </si>
  <si>
    <t>=对F4到F396求和</t>
  </si>
  <si>
    <t>=对F4到F397求和</t>
  </si>
  <si>
    <t>=对F4到F398求和</t>
  </si>
  <si>
    <t>=对F4到F399求和</t>
  </si>
  <si>
    <t>=对F4到F400求和</t>
  </si>
  <si>
    <t>=对F4到F401求和</t>
  </si>
  <si>
    <t>=对F4到F402求和</t>
  </si>
  <si>
    <t>=对F4到F403求和</t>
  </si>
  <si>
    <t>=对F4到F404求和</t>
  </si>
  <si>
    <t>=对F4到F405求和</t>
  </si>
  <si>
    <t>=对F4到F406求和</t>
  </si>
  <si>
    <t>=对F4到F407求和</t>
  </si>
  <si>
    <t>=对F4到F408求和</t>
  </si>
  <si>
    <t>=对F4到F409求和</t>
  </si>
  <si>
    <t>=对F4到F410求和</t>
  </si>
  <si>
    <t>=对F4到F411求和</t>
  </si>
  <si>
    <t>=对F4到F412求和</t>
  </si>
  <si>
    <t>=对F4到F413求和</t>
  </si>
  <si>
    <t>=对F4到F414求和</t>
  </si>
  <si>
    <t>=对F4到F415求和</t>
  </si>
  <si>
    <t>=对F4到F416求和</t>
  </si>
  <si>
    <t>=对F4到F417求和</t>
  </si>
  <si>
    <t>=对F4到F418求和</t>
  </si>
  <si>
    <t>=对F4到F419求和</t>
  </si>
  <si>
    <t>=对F4到F420求和</t>
  </si>
  <si>
    <t>=对F4到F421求和</t>
  </si>
  <si>
    <t>=对F4到F422求和</t>
  </si>
  <si>
    <t>=对F4到F423求和</t>
  </si>
  <si>
    <t>=对F4到F424求和</t>
  </si>
  <si>
    <t>=对F4到F425求和</t>
  </si>
  <si>
    <t>=对F4到F426求和</t>
  </si>
  <si>
    <t>=对F4到F427求和</t>
  </si>
  <si>
    <t>=对F4到F428求和</t>
  </si>
  <si>
    <t>=对F4到F429求和</t>
  </si>
  <si>
    <t>=对F4到F430求和</t>
  </si>
  <si>
    <t>=对F4到F431求和</t>
  </si>
  <si>
    <t>=对F4到F432求和</t>
  </si>
  <si>
    <t>=对F4到F433求和</t>
  </si>
  <si>
    <t>=对F4到F434求和</t>
  </si>
  <si>
    <t>=对F4到F435求和</t>
  </si>
  <si>
    <t>=对F4到F436求和</t>
  </si>
  <si>
    <t>=对F4到F437求和</t>
  </si>
  <si>
    <t>=对F4到F438求和</t>
  </si>
  <si>
    <t>=对F4到F439求和</t>
  </si>
  <si>
    <t>=对F4到F440求和</t>
  </si>
  <si>
    <t>=对F4到F441求和</t>
  </si>
  <si>
    <t>=对F4到F442求和</t>
  </si>
  <si>
    <t>=对F4到F443求和</t>
  </si>
  <si>
    <t>=对F4到F444求和</t>
  </si>
  <si>
    <t>=对F4到F445求和</t>
  </si>
  <si>
    <t>=对F4到F446求和</t>
  </si>
  <si>
    <t>=对F4到F447求和</t>
  </si>
  <si>
    <t>=对F4到F448求和</t>
  </si>
  <si>
    <t>=对F4到F449求和</t>
  </si>
  <si>
    <t>=对F4到F450求和</t>
  </si>
  <si>
    <t>=对F4到F451求和</t>
  </si>
  <si>
    <t>=对F4到F452求和</t>
  </si>
  <si>
    <t>=对F4到F453求和</t>
  </si>
  <si>
    <t>=对F4到F454求和</t>
  </si>
  <si>
    <t>=对F4到F455求和</t>
  </si>
  <si>
    <t>=对F4到F456求和</t>
  </si>
  <si>
    <t>=对F4到F457求和</t>
  </si>
  <si>
    <t>=对F4到F458求和</t>
  </si>
  <si>
    <t>=对F4到F459求和</t>
  </si>
  <si>
    <t>=对F4到F460求和</t>
  </si>
  <si>
    <t>=对F4到F461求和</t>
  </si>
  <si>
    <t>=对F4到F462求和</t>
  </si>
  <si>
    <t>=对F4到F463求和</t>
  </si>
  <si>
    <t>=对F4到F464求和</t>
  </si>
  <si>
    <t>=对F4到F465求和</t>
  </si>
  <si>
    <t>=对F4到F466求和</t>
  </si>
  <si>
    <t>=对F4到F467求和</t>
  </si>
  <si>
    <t>=对F4到F468求和</t>
  </si>
  <si>
    <t>=对F4到F469求和</t>
  </si>
  <si>
    <t>=对F4到F470求和</t>
  </si>
  <si>
    <t>=对F4到F471求和</t>
  </si>
  <si>
    <t>=对F4到F472求和</t>
  </si>
  <si>
    <t>=对F4到F473求和</t>
  </si>
  <si>
    <t>=对F4到F474求和</t>
  </si>
  <si>
    <t>=对F4到F475求和</t>
  </si>
  <si>
    <t>=对F4到F476求和</t>
  </si>
  <si>
    <t>=对F4到F477求和</t>
  </si>
  <si>
    <t>=对F4到F478求和</t>
  </si>
  <si>
    <t>=对F4到F479求和</t>
  </si>
  <si>
    <t>=对F4到F480求和</t>
  </si>
  <si>
    <t>=对F4到F481求和</t>
  </si>
  <si>
    <t>=对F4到F482求和</t>
  </si>
  <si>
    <t>=对F4到F483求和</t>
  </si>
  <si>
    <t>=对F4到F484求和</t>
  </si>
  <si>
    <t>=对F4到F485求和</t>
  </si>
  <si>
    <t>=对F4到F486求和</t>
  </si>
  <si>
    <t>=对F4到F487求和</t>
  </si>
  <si>
    <t>=对F4到F488求和</t>
  </si>
  <si>
    <t>=对F4到F489求和</t>
  </si>
  <si>
    <t>=对F4到F490求和</t>
  </si>
  <si>
    <t>=对F4到F491求和</t>
  </si>
  <si>
    <t>=对F4到F492求和</t>
  </si>
  <si>
    <t>=对F4到F493求和</t>
  </si>
  <si>
    <t>=对F4到F494求和</t>
  </si>
  <si>
    <t>=对F4到F495求和</t>
  </si>
  <si>
    <t>=对F4到F496求和</t>
  </si>
  <si>
    <t>=对F4到F497求和</t>
  </si>
  <si>
    <t>=对F4到F498求和</t>
  </si>
  <si>
    <t>=对F4到F499求和</t>
  </si>
  <si>
    <t>=对F4到F500求和</t>
  </si>
  <si>
    <t>=对F4到F501求和</t>
  </si>
  <si>
    <t>=对F4到F502求和</t>
  </si>
  <si>
    <t>=对F4到F503求和</t>
  </si>
  <si>
    <t>=对F4到F504求和</t>
  </si>
  <si>
    <t>现金流折现：累计求和</t>
    <phoneticPr fontId="4" type="noConversion"/>
  </si>
  <si>
    <t>可口可乐说：100年不够，我真的想活500年！</t>
    <phoneticPr fontId="4" type="noConversion"/>
  </si>
  <si>
    <t>第11年现金流为35.17。</t>
    <phoneticPr fontId="4" type="noConversion"/>
  </si>
  <si>
    <t>第11年现金流为14.16。</t>
    <phoneticPr fontId="4" type="noConversion"/>
  </si>
  <si>
    <t>用14.16/（9%-5%）=354，为折现到10年底的现值。</t>
    <phoneticPr fontId="4" type="noConversion"/>
  </si>
  <si>
    <t>用35.17/（9%-5%）=879，为折现到10年底的现值。</t>
    <phoneticPr fontId="4" type="noConversion"/>
  </si>
  <si>
    <t>再进一步折合到最新的现值879*0.422=371亿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</si>
</sst>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;[Red]\-0.00\ "/>
    <numFmt numFmtId="177" formatCode="0.000_ ;[Red]\-0.000\ "/>
    <numFmt numFmtId="178" formatCode="0_ ;[Red]\-0\ "/>
    <numFmt numFmtId="179" formatCode="0.000"/>
  </numFmts>
  <fonts count="8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7030A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applyFont="1" applyAlignment="1">
      <alignment vertical="top"/>
    </xf>
    <xf numFmtId="176" fontId="3" fillId="0" borderId="0" xfId="0" applyNumberFormat="1" applyFont="1" applyAlignment="1">
      <alignment vertical="top" wrapText="1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vertical="top" wrapText="1"/>
    </xf>
    <xf numFmtId="177" fontId="3" fillId="0" borderId="0" xfId="0" applyNumberFormat="1" applyFont="1" applyAlignment="1">
      <alignment vertical="top" wrapText="1"/>
    </xf>
    <xf numFmtId="177" fontId="1" fillId="0" borderId="0" xfId="0" applyNumberFormat="1" applyFont="1"/>
    <xf numFmtId="0" fontId="1" fillId="0" borderId="1" xfId="0" applyFont="1" applyBorder="1"/>
    <xf numFmtId="176" fontId="1" fillId="0" borderId="1" xfId="0" applyNumberFormat="1" applyFont="1" applyBorder="1"/>
    <xf numFmtId="49" fontId="1" fillId="2" borderId="1" xfId="0" applyNumberFormat="1" applyFont="1" applyFill="1" applyBorder="1"/>
    <xf numFmtId="177" fontId="1" fillId="0" borderId="1" xfId="0" applyNumberFormat="1" applyFont="1" applyBorder="1"/>
    <xf numFmtId="0" fontId="3" fillId="0" borderId="0" xfId="0" applyFont="1"/>
    <xf numFmtId="0" fontId="5" fillId="0" borderId="0" xfId="0" applyFont="1"/>
    <xf numFmtId="176" fontId="2" fillId="0" borderId="0" xfId="0" applyNumberFormat="1" applyFont="1"/>
    <xf numFmtId="177" fontId="2" fillId="0" borderId="0" xfId="0" applyNumberFormat="1" applyFont="1"/>
    <xf numFmtId="178" fontId="1" fillId="0" borderId="0" xfId="0" applyNumberFormat="1" applyFont="1"/>
    <xf numFmtId="49" fontId="1" fillId="2" borderId="0" xfId="0" applyNumberFormat="1" applyFont="1" applyFill="1" applyBorder="1"/>
    <xf numFmtId="178" fontId="5" fillId="0" borderId="0" xfId="0" applyNumberFormat="1" applyFont="1"/>
    <xf numFmtId="0" fontId="7" fillId="0" borderId="0" xfId="0" applyFont="1"/>
    <xf numFmtId="176" fontId="3" fillId="0" borderId="0" xfId="0" applyNumberFormat="1" applyFont="1" applyAlignment="1">
      <alignment horizontal="center" vertical="top" wrapText="1"/>
    </xf>
    <xf numFmtId="179" fontId="1" fillId="0" borderId="0" xfId="0" applyNumberFormat="1" applyFont="1"/>
    <xf numFmtId="178" fontId="2" fillId="0" borderId="0" xfId="0" applyNumberFormat="1" applyFont="1"/>
    <xf numFmtId="178" fontId="6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假设1!$H$1</c:f>
              <c:strCache>
                <c:ptCount val="1"/>
                <c:pt idx="0">
                  <c:v>现金流折现：累计求和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99"/>
              <c:layout>
                <c:manualLayout>
                  <c:x val="-8.3333333333334356E-3"/>
                  <c:y val="-6.9444444444444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BF6E43-C43D-428D-B2FF-5051CFE0CC05}" type="VALUE">
                      <a:rPr lang="en-US" altLang="zh-CN" sz="1000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[值]</a:t>
                    </a:fld>
                    <a:endParaRPr lang="zh-CN" alt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01B-43DC-BFCC-FA44ED67EF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假设1!$A$4:$A$504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假设1!$H$4:$H$504</c:f>
              <c:numCache>
                <c:formatCode>0.00_ ;[Red]\-0.00\ </c:formatCode>
                <c:ptCount val="501"/>
                <c:pt idx="0">
                  <c:v>8.7357798165137588</c:v>
                </c:pt>
                <c:pt idx="1">
                  <c:v>17.952428246780567</c:v>
                </c:pt>
                <c:pt idx="2">
                  <c:v>27.676415122750136</c:v>
                </c:pt>
                <c:pt idx="3">
                  <c:v>37.935667331341875</c:v>
                </c:pt>
                <c:pt idx="4">
                  <c:v>48.759649019305641</c:v>
                </c:pt>
                <c:pt idx="5">
                  <c:v>60.179446213028875</c:v>
                </c:pt>
                <c:pt idx="6">
                  <c:v>72.227856096314852</c:v>
                </c:pt>
                <c:pt idx="7">
                  <c:v>84.939481202533997</c:v>
                </c:pt>
                <c:pt idx="8">
                  <c:v>98.350828791664298</c:v>
                </c:pt>
                <c:pt idx="9">
                  <c:v>112.50041569762745</c:v>
                </c:pt>
                <c:pt idx="11">
                  <c:v>126.13075170795892</c:v>
                </c:pt>
                <c:pt idx="12">
                  <c:v>139.26089190139751</c:v>
                </c:pt>
                <c:pt idx="13">
                  <c:v>151.90919208773744</c:v>
                </c:pt>
                <c:pt idx="14">
                  <c:v>164.09333446907405</c:v>
                </c:pt>
                <c:pt idx="15">
                  <c:v>175.83035235935245</c:v>
                </c:pt>
                <c:pt idx="16">
                  <c:v>187.1366539967766</c:v>
                </c:pt>
                <c:pt idx="17">
                  <c:v>198.02804548236867</c:v>
                </c:pt>
                <c:pt idx="18">
                  <c:v>208.51975287674634</c:v>
                </c:pt>
                <c:pt idx="19">
                  <c:v>218.62644348600924</c:v>
                </c:pt>
                <c:pt idx="20">
                  <c:v>228.36224636649183</c:v>
                </c:pt>
                <c:pt idx="21">
                  <c:v>237.74077207704846</c:v>
                </c:pt>
                <c:pt idx="22">
                  <c:v>246.77513170648376</c:v>
                </c:pt>
                <c:pt idx="23">
                  <c:v>255.47795520272877</c:v>
                </c:pt>
                <c:pt idx="24">
                  <c:v>263.86140902938678</c:v>
                </c:pt>
                <c:pt idx="25">
                  <c:v>271.93721317433261</c:v>
                </c:pt>
                <c:pt idx="26">
                  <c:v>279.71665753414283</c:v>
                </c:pt>
                <c:pt idx="27">
                  <c:v>287.21061769726271</c:v>
                </c:pt>
                <c:pt idx="28">
                  <c:v>294.42957014797452</c:v>
                </c:pt>
                <c:pt idx="29">
                  <c:v>301.38360691242173</c:v>
                </c:pt>
                <c:pt idx="30">
                  <c:v>308.08244966716444</c:v>
                </c:pt>
                <c:pt idx="31">
                  <c:v>314.53546332998997</c:v>
                </c:pt>
                <c:pt idx="32">
                  <c:v>320.75166915197786</c:v>
                </c:pt>
                <c:pt idx="33">
                  <c:v>326.7397573291222</c:v>
                </c:pt>
                <c:pt idx="34">
                  <c:v>332.50809915114195</c:v>
                </c:pt>
                <c:pt idx="35">
                  <c:v>338.06475870446371</c:v>
                </c:pt>
                <c:pt idx="36">
                  <c:v>343.41750414573698</c:v>
                </c:pt>
                <c:pt idx="37">
                  <c:v>348.57381856164244</c:v>
                </c:pt>
                <c:pt idx="38">
                  <c:v>353.54091043017519</c:v>
                </c:pt>
                <c:pt idx="39">
                  <c:v>358.32572369802784</c:v>
                </c:pt>
                <c:pt idx="40">
                  <c:v>362.93494748816113</c:v>
                </c:pt>
                <c:pt idx="41">
                  <c:v>367.37502545113358</c:v>
                </c:pt>
                <c:pt idx="42">
                  <c:v>371.652164773263</c:v>
                </c:pt>
                <c:pt idx="43">
                  <c:v>375.77234485421337</c:v>
                </c:pt>
                <c:pt idx="44">
                  <c:v>379.74132566613804</c:v>
                </c:pt>
                <c:pt idx="45">
                  <c:v>383.56465580606545</c:v>
                </c:pt>
                <c:pt idx="46">
                  <c:v>387.24768025278451</c:v>
                </c:pt>
                <c:pt idx="47">
                  <c:v>390.79554783907355</c:v>
                </c:pt>
                <c:pt idx="48">
                  <c:v>394.21321844971891</c:v>
                </c:pt>
                <c:pt idx="49">
                  <c:v>397.5054699553865</c:v>
                </c:pt>
                <c:pt idx="50">
                  <c:v>400.67690489203875</c:v>
                </c:pt>
                <c:pt idx="51">
                  <c:v>403.7319568952359</c:v>
                </c:pt>
                <c:pt idx="52">
                  <c:v>406.67489689831569</c:v>
                </c:pt>
                <c:pt idx="53">
                  <c:v>409.50983910311732</c:v>
                </c:pt>
                <c:pt idx="54">
                  <c:v>412.24074673159595</c:v>
                </c:pt>
                <c:pt idx="55">
                  <c:v>414.87143756636897</c:v>
                </c:pt>
                <c:pt idx="56">
                  <c:v>417.40558928793928</c:v>
                </c:pt>
                <c:pt idx="57">
                  <c:v>419.84674461605749</c:v>
                </c:pt>
                <c:pt idx="58">
                  <c:v>422.19831626240989</c:v>
                </c:pt>
                <c:pt idx="59">
                  <c:v>424.46359170155671</c:v>
                </c:pt>
                <c:pt idx="60">
                  <c:v>426.64573776678986</c:v>
                </c:pt>
                <c:pt idx="61">
                  <c:v>428.74780507733556</c:v>
                </c:pt>
                <c:pt idx="62">
                  <c:v>430.77273230309061</c:v>
                </c:pt>
                <c:pt idx="63">
                  <c:v>432.72335027285465</c:v>
                </c:pt>
                <c:pt idx="64">
                  <c:v>434.60238593180162</c:v>
                </c:pt>
                <c:pt idx="65">
                  <c:v>436.41246615372302</c:v>
                </c:pt>
                <c:pt idx="66">
                  <c:v>438.15612141337209</c:v>
                </c:pt>
                <c:pt idx="67">
                  <c:v>439.83578932404322</c:v>
                </c:pt>
                <c:pt idx="68">
                  <c:v>441.4538180453319</c:v>
                </c:pt>
                <c:pt idx="69">
                  <c:v>443.01246956583935</c:v>
                </c:pt>
                <c:pt idx="70">
                  <c:v>444.51392286541073</c:v>
                </c:pt>
                <c:pt idx="71">
                  <c:v>445.96027696132813</c:v>
                </c:pt>
                <c:pt idx="72">
                  <c:v>447.35355384271645</c:v>
                </c:pt>
                <c:pt idx="73">
                  <c:v>448.69570129726486</c:v>
                </c:pt>
                <c:pt idx="74">
                  <c:v>449.98859563421513</c:v>
                </c:pt>
                <c:pt idx="75">
                  <c:v>451.23404430742414</c:v>
                </c:pt>
                <c:pt idx="76">
                  <c:v>452.43378844216676</c:v>
                </c:pt>
                <c:pt idx="77">
                  <c:v>453.5895052692124</c:v>
                </c:pt>
                <c:pt idx="78">
                  <c:v>454.70281046957746</c:v>
                </c:pt>
                <c:pt idx="79">
                  <c:v>455.77526043323189</c:v>
                </c:pt>
                <c:pt idx="80">
                  <c:v>456.80835443491736</c:v>
                </c:pt>
                <c:pt idx="81">
                  <c:v>457.80353673011894</c:v>
                </c:pt>
                <c:pt idx="82">
                  <c:v>458.76219857412048</c:v>
                </c:pt>
                <c:pt idx="83">
                  <c:v>459.68568016696599</c:v>
                </c:pt>
                <c:pt idx="84">
                  <c:v>460.57527252704654</c:v>
                </c:pt>
                <c:pt idx="85">
                  <c:v>461.43221929593142</c:v>
                </c:pt>
                <c:pt idx="86">
                  <c:v>462.25771847696734</c:v>
                </c:pt>
                <c:pt idx="87">
                  <c:v>463.05292411007537</c:v>
                </c:pt>
                <c:pt idx="88">
                  <c:v>463.81894788508765</c:v>
                </c:pt>
                <c:pt idx="89">
                  <c:v>464.55686069587932</c:v>
                </c:pt>
                <c:pt idx="90">
                  <c:v>465.26769413746763</c:v>
                </c:pt>
                <c:pt idx="91">
                  <c:v>465.95244194817195</c:v>
                </c:pt>
                <c:pt idx="92">
                  <c:v>466.61206139885041</c:v>
                </c:pt>
                <c:pt idx="93">
                  <c:v>467.24747463115534</c:v>
                </c:pt>
                <c:pt idx="94">
                  <c:v>467.85956994667845</c:v>
                </c:pt>
                <c:pt idx="95">
                  <c:v>468.44920304878787</c:v>
                </c:pt>
                <c:pt idx="96">
                  <c:v>469.01719823889329</c:v>
                </c:pt>
                <c:pt idx="97">
                  <c:v>469.56434956881134</c:v>
                </c:pt>
                <c:pt idx="98">
                  <c:v>470.09142195084252</c:v>
                </c:pt>
                <c:pt idx="99">
                  <c:v>470.59915222711106</c:v>
                </c:pt>
                <c:pt idx="100">
                  <c:v>471.08825019966332</c:v>
                </c:pt>
                <c:pt idx="101">
                  <c:v>471.55939962276415</c:v>
                </c:pt>
                <c:pt idx="102">
                  <c:v>472.01325915877868</c:v>
                </c:pt>
                <c:pt idx="103">
                  <c:v>472.45046329897616</c:v>
                </c:pt>
                <c:pt idx="104">
                  <c:v>472.87162325054254</c:v>
                </c:pt>
                <c:pt idx="105">
                  <c:v>473.2773277910423</c:v>
                </c:pt>
                <c:pt idx="106">
                  <c:v>473.66814409152369</c:v>
                </c:pt>
                <c:pt idx="107">
                  <c:v>474.04461850941863</c:v>
                </c:pt>
                <c:pt idx="108">
                  <c:v>474.40727735234492</c:v>
                </c:pt>
                <c:pt idx="109">
                  <c:v>474.7566276138794</c:v>
                </c:pt>
                <c:pt idx="110">
                  <c:v>475.09315768233006</c:v>
                </c:pt>
                <c:pt idx="111">
                  <c:v>475.41733802349813</c:v>
                </c:pt>
                <c:pt idx="112">
                  <c:v>475.72962183838484</c:v>
                </c:pt>
                <c:pt idx="113">
                  <c:v>476.03044569676194</c:v>
                </c:pt>
                <c:pt idx="114">
                  <c:v>476.32023014749217</c:v>
                </c:pt>
                <c:pt idx="115">
                  <c:v>476.59938030645247</c:v>
                </c:pt>
                <c:pt idx="116">
                  <c:v>476.86828642288214</c:v>
                </c:pt>
                <c:pt idx="117">
                  <c:v>477.1273244249474</c:v>
                </c:pt>
                <c:pt idx="118">
                  <c:v>477.37685644528551</c:v>
                </c:pt>
                <c:pt idx="119">
                  <c:v>477.61723132726257</c:v>
                </c:pt>
                <c:pt idx="120">
                  <c:v>477.84878511265333</c:v>
                </c:pt>
                <c:pt idx="121">
                  <c:v>478.07184151142422</c:v>
                </c:pt>
                <c:pt idx="122">
                  <c:v>478.28671235427691</c:v>
                </c:pt>
                <c:pt idx="123">
                  <c:v>478.49369802858456</c:v>
                </c:pt>
                <c:pt idx="124">
                  <c:v>478.69308789833048</c:v>
                </c:pt>
                <c:pt idx="125">
                  <c:v>478.88516070863614</c:v>
                </c:pt>
                <c:pt idx="126">
                  <c:v>479.07018497544436</c:v>
                </c:pt>
                <c:pt idx="127">
                  <c:v>479.24841936090183</c:v>
                </c:pt>
                <c:pt idx="128">
                  <c:v>479.42011303496639</c:v>
                </c:pt>
                <c:pt idx="129">
                  <c:v>479.58550602374413</c:v>
                </c:pt>
                <c:pt idx="130">
                  <c:v>479.74482954504379</c:v>
                </c:pt>
                <c:pt idx="131">
                  <c:v>479.89830633161688</c:v>
                </c:pt>
                <c:pt idx="132">
                  <c:v>480.04615094253592</c:v>
                </c:pt>
                <c:pt idx="133">
                  <c:v>480.18857006314596</c:v>
                </c:pt>
                <c:pt idx="134">
                  <c:v>480.32576279400888</c:v>
                </c:pt>
                <c:pt idx="135">
                  <c:v>480.45792092924381</c:v>
                </c:pt>
                <c:pt idx="136">
                  <c:v>480.58522922465357</c:v>
                </c:pt>
                <c:pt idx="137">
                  <c:v>480.70786565601162</c:v>
                </c:pt>
                <c:pt idx="138">
                  <c:v>480.82600166787029</c:v>
                </c:pt>
                <c:pt idx="139">
                  <c:v>480.93980241323874</c:v>
                </c:pt>
                <c:pt idx="140">
                  <c:v>481.04942698446524</c:v>
                </c:pt>
                <c:pt idx="141">
                  <c:v>481.15502863564672</c:v>
                </c:pt>
                <c:pt idx="142">
                  <c:v>481.25675499687657</c:v>
                </c:pt>
                <c:pt idx="143">
                  <c:v>481.35474828063008</c:v>
                </c:pt>
                <c:pt idx="144">
                  <c:v>481.44914548057614</c:v>
                </c:pt>
                <c:pt idx="145">
                  <c:v>481.540078563093</c:v>
                </c:pt>
                <c:pt idx="146">
                  <c:v>481.62767465175602</c:v>
                </c:pt>
                <c:pt idx="147">
                  <c:v>481.71205620505526</c:v>
                </c:pt>
                <c:pt idx="148">
                  <c:v>481.79334118759124</c:v>
                </c:pt>
                <c:pt idx="149">
                  <c:v>481.87164323498826</c:v>
                </c:pt>
                <c:pt idx="150">
                  <c:v>481.94707181275606</c:v>
                </c:pt>
                <c:pt idx="151">
                  <c:v>482.01973236932133</c:v>
                </c:pt>
                <c:pt idx="152">
                  <c:v>482.08972648344388</c:v>
                </c:pt>
                <c:pt idx="153">
                  <c:v>482.15715200622247</c:v>
                </c:pt>
                <c:pt idx="154">
                  <c:v>482.22210319788991</c:v>
                </c:pt>
                <c:pt idx="155">
                  <c:v>482.28467085958789</c:v>
                </c:pt>
                <c:pt idx="156">
                  <c:v>482.34494246030613</c:v>
                </c:pt>
                <c:pt idx="157">
                  <c:v>482.40300225916315</c:v>
                </c:pt>
                <c:pt idx="158">
                  <c:v>482.45893142319972</c:v>
                </c:pt>
                <c:pt idx="159">
                  <c:v>482.51280814084964</c:v>
                </c:pt>
                <c:pt idx="160">
                  <c:v>482.56470773124636</c:v>
                </c:pt>
                <c:pt idx="161">
                  <c:v>482.61470274951841</c:v>
                </c:pt>
                <c:pt idx="162">
                  <c:v>482.66286308822089</c:v>
                </c:pt>
                <c:pt idx="163">
                  <c:v>482.70925607504438</c:v>
                </c:pt>
                <c:pt idx="164">
                  <c:v>482.75394656693857</c:v>
                </c:pt>
                <c:pt idx="165">
                  <c:v>482.79699704078155</c:v>
                </c:pt>
                <c:pt idx="166">
                  <c:v>482.83846768072203</c:v>
                </c:pt>
                <c:pt idx="167">
                  <c:v>482.87841646231612</c:v>
                </c:pt>
                <c:pt idx="168">
                  <c:v>482.91689923357649</c:v>
                </c:pt>
                <c:pt idx="169">
                  <c:v>482.95396979304746</c:v>
                </c:pt>
                <c:pt idx="170">
                  <c:v>482.98967996501489</c:v>
                </c:pt>
                <c:pt idx="171">
                  <c:v>483.02407967195603</c:v>
                </c:pt>
                <c:pt idx="172">
                  <c:v>483.05721700433048</c:v>
                </c:pt>
                <c:pt idx="173">
                  <c:v>483.0891382878105</c:v>
                </c:pt>
                <c:pt idx="174">
                  <c:v>483.11988814804351</c:v>
                </c:pt>
                <c:pt idx="175">
                  <c:v>483.14950957303864</c:v>
                </c:pt>
                <c:pt idx="176">
                  <c:v>483.1780439732633</c:v>
                </c:pt>
                <c:pt idx="177">
                  <c:v>483.20553123953476</c:v>
                </c:pt>
                <c:pt idx="178">
                  <c:v>483.23200979878709</c:v>
                </c:pt>
                <c:pt idx="179">
                  <c:v>483.25751666779161</c:v>
                </c:pt>
                <c:pt idx="180">
                  <c:v>483.28208750490603</c:v>
                </c:pt>
                <c:pt idx="181">
                  <c:v>483.30575665992455</c:v>
                </c:pt>
                <c:pt idx="182">
                  <c:v>483.32855722209837</c:v>
                </c:pt>
                <c:pt idx="183">
                  <c:v>483.35052106639421</c:v>
                </c:pt>
                <c:pt idx="184">
                  <c:v>483.37167889805534</c:v>
                </c:pt>
                <c:pt idx="185">
                  <c:v>483.39206029552707</c:v>
                </c:pt>
                <c:pt idx="186">
                  <c:v>483.41169375180721</c:v>
                </c:pt>
                <c:pt idx="187">
                  <c:v>483.43060671427889</c:v>
                </c:pt>
                <c:pt idx="188">
                  <c:v>483.44882562308186</c:v>
                </c:pt>
                <c:pt idx="189">
                  <c:v>483.46637594807555</c:v>
                </c:pt>
                <c:pt idx="190">
                  <c:v>483.48328222444565</c:v>
                </c:pt>
                <c:pt idx="191">
                  <c:v>483.49956808700398</c:v>
                </c:pt>
                <c:pt idx="192">
                  <c:v>483.51525630322988</c:v>
                </c:pt>
                <c:pt idx="193">
                  <c:v>483.53036880509887</c:v>
                </c:pt>
                <c:pt idx="194">
                  <c:v>483.54492671974333</c:v>
                </c:pt>
                <c:pt idx="195">
                  <c:v>483.55895039898797</c:v>
                </c:pt>
                <c:pt idx="196">
                  <c:v>483.57245944780163</c:v>
                </c:pt>
                <c:pt idx="197">
                  <c:v>483.58547275170469</c:v>
                </c:pt>
                <c:pt idx="198">
                  <c:v>483.59800850317095</c:v>
                </c:pt>
                <c:pt idx="199">
                  <c:v>483.61008422706044</c:v>
                </c:pt>
                <c:pt idx="200">
                  <c:v>483.62171680511915</c:v>
                </c:pt>
                <c:pt idx="201">
                  <c:v>483.63292249957937</c:v>
                </c:pt>
                <c:pt idx="202">
                  <c:v>483.64371697589428</c:v>
                </c:pt>
                <c:pt idx="203">
                  <c:v>483.65411532463798</c:v>
                </c:pt>
                <c:pt idx="204">
                  <c:v>483.66413208260212</c:v>
                </c:pt>
                <c:pt idx="205">
                  <c:v>483.67378125311802</c:v>
                </c:pt>
                <c:pt idx="206">
                  <c:v>483.68307632563335</c:v>
                </c:pt>
                <c:pt idx="207">
                  <c:v>483.69203029457015</c:v>
                </c:pt>
                <c:pt idx="208">
                  <c:v>483.70065567749089</c:v>
                </c:pt>
                <c:pt idx="209">
                  <c:v>483.70896453259803</c:v>
                </c:pt>
                <c:pt idx="210">
                  <c:v>483.71696847559116</c:v>
                </c:pt>
                <c:pt idx="211">
                  <c:v>483.72467869590565</c:v>
                </c:pt>
                <c:pt idx="212">
                  <c:v>483.73210597235538</c:v>
                </c:pt>
                <c:pt idx="213">
                  <c:v>483.73926068820145</c:v>
                </c:pt>
                <c:pt idx="214">
                  <c:v>483.74615284566784</c:v>
                </c:pt>
                <c:pt idx="215">
                  <c:v>483.75279207992446</c:v>
                </c:pt>
                <c:pt idx="216">
                  <c:v>483.75918767255695</c:v>
                </c:pt>
                <c:pt idx="217">
                  <c:v>483.76534856454242</c:v>
                </c:pt>
                <c:pt idx="218">
                  <c:v>483.77128336874858</c:v>
                </c:pt>
                <c:pt idx="219">
                  <c:v>483.77700038197469</c:v>
                </c:pt>
                <c:pt idx="220">
                  <c:v>483.78250759655032</c:v>
                </c:pt>
                <c:pt idx="221">
                  <c:v>483.78781271150848</c:v>
                </c:pt>
                <c:pt idx="222">
                  <c:v>483.7929231433489</c:v>
                </c:pt>
                <c:pt idx="223">
                  <c:v>483.79784603640621</c:v>
                </c:pt>
                <c:pt idx="224">
                  <c:v>483.80258827283757</c:v>
                </c:pt>
                <c:pt idx="225">
                  <c:v>483.8071564822439</c:v>
                </c:pt>
                <c:pt idx="226">
                  <c:v>483.81155705093806</c:v>
                </c:pt>
                <c:pt idx="227">
                  <c:v>483.81579613087285</c:v>
                </c:pt>
                <c:pt idx="228">
                  <c:v>483.81987964824123</c:v>
                </c:pt>
                <c:pt idx="229">
                  <c:v>483.82381331176117</c:v>
                </c:pt>
                <c:pt idx="230">
                  <c:v>483.82760262065653</c:v>
                </c:pt>
                <c:pt idx="231">
                  <c:v>483.83125287234475</c:v>
                </c:pt>
                <c:pt idx="232">
                  <c:v>483.83476916984256</c:v>
                </c:pt>
                <c:pt idx="233">
                  <c:v>483.83815642890011</c:v>
                </c:pt>
                <c:pt idx="234">
                  <c:v>483.84141938487295</c:v>
                </c:pt>
                <c:pt idx="235">
                  <c:v>483.84456259934223</c:v>
                </c:pt>
                <c:pt idx="236">
                  <c:v>483.84759046649151</c:v>
                </c:pt>
                <c:pt idx="237">
                  <c:v>483.85050721925001</c:v>
                </c:pt>
                <c:pt idx="238">
                  <c:v>483.85331693521005</c:v>
                </c:pt>
                <c:pt idx="239">
                  <c:v>483.85602354232748</c:v>
                </c:pt>
                <c:pt idx="240">
                  <c:v>483.85863082441307</c:v>
                </c:pt>
                <c:pt idx="241">
                  <c:v>483.86114242642213</c:v>
                </c:pt>
                <c:pt idx="242">
                  <c:v>483.86356185955015</c:v>
                </c:pt>
                <c:pt idx="243">
                  <c:v>483.86589250614134</c:v>
                </c:pt>
                <c:pt idx="244">
                  <c:v>483.86813762441727</c:v>
                </c:pt>
                <c:pt idx="245">
                  <c:v>483.87030035303172</c:v>
                </c:pt>
                <c:pt idx="246">
                  <c:v>483.87238371545845</c:v>
                </c:pt>
                <c:pt idx="247">
                  <c:v>483.87439062421817</c:v>
                </c:pt>
                <c:pt idx="248">
                  <c:v>483.87632388495001</c:v>
                </c:pt>
                <c:pt idx="249">
                  <c:v>483.87818620033386</c:v>
                </c:pt>
                <c:pt idx="250">
                  <c:v>483.87998017386877</c:v>
                </c:pt>
                <c:pt idx="251">
                  <c:v>483.88170831351249</c:v>
                </c:pt>
                <c:pt idx="252">
                  <c:v>483.88337303518762</c:v>
                </c:pt>
                <c:pt idx="253">
                  <c:v>483.8849766661591</c:v>
                </c:pt>
                <c:pt idx="254">
                  <c:v>483.88652144828757</c:v>
                </c:pt>
                <c:pt idx="255">
                  <c:v>483.88800954116363</c:v>
                </c:pt>
                <c:pt idx="256">
                  <c:v>483.88944302512681</c:v>
                </c:pt>
                <c:pt idx="257">
                  <c:v>483.89082390417389</c:v>
                </c:pt>
                <c:pt idx="258">
                  <c:v>483.89215410876056</c:v>
                </c:pt>
                <c:pt idx="259">
                  <c:v>483.89343549850003</c:v>
                </c:pt>
                <c:pt idx="260">
                  <c:v>483.89466986476276</c:v>
                </c:pt>
                <c:pt idx="261">
                  <c:v>483.89585893318105</c:v>
                </c:pt>
                <c:pt idx="262">
                  <c:v>483.89700436606103</c:v>
                </c:pt>
                <c:pt idx="263">
                  <c:v>483.89810776470688</c:v>
                </c:pt>
                <c:pt idx="264">
                  <c:v>483.89917067165931</c:v>
                </c:pt>
                <c:pt idx="265">
                  <c:v>483.900194572852</c:v>
                </c:pt>
                <c:pt idx="266">
                  <c:v>483.901180899689</c:v>
                </c:pt>
                <c:pt idx="267">
                  <c:v>483.90213103104577</c:v>
                </c:pt>
                <c:pt idx="268">
                  <c:v>483.90304629519676</c:v>
                </c:pt>
                <c:pt idx="269">
                  <c:v>483.90392797167249</c:v>
                </c:pt>
                <c:pt idx="270">
                  <c:v>483.9047772930482</c:v>
                </c:pt>
                <c:pt idx="271">
                  <c:v>483.90559544666701</c:v>
                </c:pt>
                <c:pt idx="272">
                  <c:v>483.90638357629979</c:v>
                </c:pt>
                <c:pt idx="273">
                  <c:v>483.90714278374423</c:v>
                </c:pt>
                <c:pt idx="274">
                  <c:v>483.90787413036503</c:v>
                </c:pt>
                <c:pt idx="275">
                  <c:v>483.90857863857769</c:v>
                </c:pt>
                <c:pt idx="276">
                  <c:v>483.90925729327796</c:v>
                </c:pt>
                <c:pt idx="277">
                  <c:v>483.90991104321859</c:v>
                </c:pt>
                <c:pt idx="278">
                  <c:v>483.91054080233573</c:v>
                </c:pt>
                <c:pt idx="279">
                  <c:v>483.91114745102652</c:v>
                </c:pt>
                <c:pt idx="280">
                  <c:v>483.91173183738005</c:v>
                </c:pt>
                <c:pt idx="281">
                  <c:v>483.91229477836282</c:v>
                </c:pt>
                <c:pt idx="282">
                  <c:v>483.9128370609609</c:v>
                </c:pt>
                <c:pt idx="283">
                  <c:v>483.91335944328017</c:v>
                </c:pt>
                <c:pt idx="284">
                  <c:v>483.91386265560607</c:v>
                </c:pt>
                <c:pt idx="285">
                  <c:v>483.91434740142455</c:v>
                </c:pt>
                <c:pt idx="286">
                  <c:v>483.91481435840569</c:v>
                </c:pt>
                <c:pt idx="287">
                  <c:v>483.9152641793508</c:v>
                </c:pt>
                <c:pt idx="288">
                  <c:v>483.91569749310526</c:v>
                </c:pt>
                <c:pt idx="289">
                  <c:v>483.91611490543755</c:v>
                </c:pt>
                <c:pt idx="290">
                  <c:v>483.91651699988608</c:v>
                </c:pt>
                <c:pt idx="291">
                  <c:v>483.91690433857502</c:v>
                </c:pt>
                <c:pt idx="292">
                  <c:v>483.91727746300018</c:v>
                </c:pt>
                <c:pt idx="293">
                  <c:v>483.91763689478586</c:v>
                </c:pt>
                <c:pt idx="294">
                  <c:v>483.91798313641425</c:v>
                </c:pt>
                <c:pt idx="295">
                  <c:v>483.91831667192787</c:v>
                </c:pt>
                <c:pt idx="296">
                  <c:v>483.91863796760612</c:v>
                </c:pt>
                <c:pt idx="297">
                  <c:v>483.91894747261728</c:v>
                </c:pt>
                <c:pt idx="298">
                  <c:v>483.9192456196464</c:v>
                </c:pt>
                <c:pt idx="299">
                  <c:v>483.91953282550014</c:v>
                </c:pt>
                <c:pt idx="300">
                  <c:v>483.91980949168953</c:v>
                </c:pt>
                <c:pt idx="301">
                  <c:v>483.92007600499119</c:v>
                </c:pt>
                <c:pt idx="302">
                  <c:v>483.92033273798825</c:v>
                </c:pt>
                <c:pt idx="303">
                  <c:v>483.92058004959091</c:v>
                </c:pt>
                <c:pt idx="304">
                  <c:v>483.92081828553842</c:v>
                </c:pt>
                <c:pt idx="305">
                  <c:v>483.92104777888233</c:v>
                </c:pt>
                <c:pt idx="306">
                  <c:v>483.92126885045218</c:v>
                </c:pt>
                <c:pt idx="307">
                  <c:v>483.92148180930388</c:v>
                </c:pt>
                <c:pt idx="308">
                  <c:v>483.92168695315183</c:v>
                </c:pt>
                <c:pt idx="309">
                  <c:v>483.92188456878517</c:v>
                </c:pt>
                <c:pt idx="310">
                  <c:v>483.92207493246866</c:v>
                </c:pt>
                <c:pt idx="311">
                  <c:v>483.92225831032891</c:v>
                </c:pt>
                <c:pt idx="312">
                  <c:v>483.9224349587264</c:v>
                </c:pt>
                <c:pt idx="313">
                  <c:v>483.92260512461388</c:v>
                </c:pt>
                <c:pt idx="314">
                  <c:v>483.92276904588164</c:v>
                </c:pt>
                <c:pt idx="315">
                  <c:v>483.92292695169004</c:v>
                </c:pt>
                <c:pt idx="316">
                  <c:v>483.9230790627899</c:v>
                </c:pt>
                <c:pt idx="317">
                  <c:v>483.923225591831</c:v>
                </c:pt>
                <c:pt idx="318">
                  <c:v>483.92336674365959</c:v>
                </c:pt>
                <c:pt idx="319">
                  <c:v>483.92350271560457</c:v>
                </c:pt>
                <c:pt idx="320">
                  <c:v>483.92363369775342</c:v>
                </c:pt>
                <c:pt idx="321">
                  <c:v>483.92375987321788</c:v>
                </c:pt>
                <c:pt idx="322">
                  <c:v>483.92388141839007</c:v>
                </c:pt>
                <c:pt idx="323">
                  <c:v>483.92399850318895</c:v>
                </c:pt>
                <c:pt idx="324">
                  <c:v>483.924111291298</c:v>
                </c:pt>
                <c:pt idx="325">
                  <c:v>483.92421994039387</c:v>
                </c:pt>
                <c:pt idx="326">
                  <c:v>483.92432460236694</c:v>
                </c:pt>
                <c:pt idx="327">
                  <c:v>483.92442542353365</c:v>
                </c:pt>
                <c:pt idx="328">
                  <c:v>483.92452254484107</c:v>
                </c:pt>
                <c:pt idx="329">
                  <c:v>483.92461610206379</c:v>
                </c:pt>
                <c:pt idx="330">
                  <c:v>483.92470622599393</c:v>
                </c:pt>
                <c:pt idx="331">
                  <c:v>483.92479304262389</c:v>
                </c:pt>
                <c:pt idx="332">
                  <c:v>483.9248766733225</c:v>
                </c:pt>
                <c:pt idx="333">
                  <c:v>483.92495723500463</c:v>
                </c:pt>
                <c:pt idx="334">
                  <c:v>483.92503484029476</c:v>
                </c:pt>
                <c:pt idx="335">
                  <c:v>483.9251095976843</c:v>
                </c:pt>
                <c:pt idx="336">
                  <c:v>483.9251816116834</c:v>
                </c:pt>
                <c:pt idx="337">
                  <c:v>483.92525098296693</c:v>
                </c:pt>
                <c:pt idx="338">
                  <c:v>483.92531780851533</c:v>
                </c:pt>
                <c:pt idx="339">
                  <c:v>483.92538218175002</c:v>
                </c:pt>
                <c:pt idx="340">
                  <c:v>483.92544419266414</c:v>
                </c:pt>
                <c:pt idx="341">
                  <c:v>483.9255039279484</c:v>
                </c:pt>
                <c:pt idx="342">
                  <c:v>483.92556147111213</c:v>
                </c:pt>
                <c:pt idx="343">
                  <c:v>483.92561690260015</c:v>
                </c:pt>
                <c:pt idx="344">
                  <c:v>483.92567029990511</c:v>
                </c:pt>
                <c:pt idx="345">
                  <c:v>483.92572173767593</c:v>
                </c:pt>
                <c:pt idx="346">
                  <c:v>483.92577128782216</c:v>
                </c:pt>
                <c:pt idx="347">
                  <c:v>483.92581901961438</c:v>
                </c:pt>
                <c:pt idx="348">
                  <c:v>483.9258649997812</c:v>
                </c:pt>
                <c:pt idx="349">
                  <c:v>483.92590929260246</c:v>
                </c:pt>
                <c:pt idx="350">
                  <c:v>483.92595195999905</c:v>
                </c:pt>
                <c:pt idx="351">
                  <c:v>483.92599306161964</c:v>
                </c:pt>
                <c:pt idx="352">
                  <c:v>483.92603265492386</c:v>
                </c:pt>
                <c:pt idx="353">
                  <c:v>483.92607079526283</c:v>
                </c:pt>
                <c:pt idx="354">
                  <c:v>483.92610753595631</c:v>
                </c:pt>
                <c:pt idx="355">
                  <c:v>483.92614292836748</c:v>
                </c:pt>
                <c:pt idx="356">
                  <c:v>483.92617702197458</c:v>
                </c:pt>
                <c:pt idx="357">
                  <c:v>483.92620986444012</c:v>
                </c:pt>
                <c:pt idx="358">
                  <c:v>483.92624150167757</c:v>
                </c:pt>
                <c:pt idx="359">
                  <c:v>483.92627197791546</c:v>
                </c:pt>
                <c:pt idx="360">
                  <c:v>483.92630133575932</c:v>
                </c:pt>
                <c:pt idx="361">
                  <c:v>483.92632961625111</c:v>
                </c:pt>
                <c:pt idx="362">
                  <c:v>483.92635685892668</c:v>
                </c:pt>
                <c:pt idx="363">
                  <c:v>483.92638310187101</c:v>
                </c:pt>
                <c:pt idx="364">
                  <c:v>483.92640838177152</c:v>
                </c:pt>
                <c:pt idx="365">
                  <c:v>483.92643273396925</c:v>
                </c:pt>
                <c:pt idx="366">
                  <c:v>483.9264561925084</c:v>
                </c:pt>
                <c:pt idx="367">
                  <c:v>483.92647879018369</c:v>
                </c:pt>
                <c:pt idx="368">
                  <c:v>483.9265005585865</c:v>
                </c:pt>
                <c:pt idx="369">
                  <c:v>483.92652152814884</c:v>
                </c:pt>
                <c:pt idx="370">
                  <c:v>483.92654172818595</c:v>
                </c:pt>
                <c:pt idx="371">
                  <c:v>483.92656118693731</c:v>
                </c:pt>
                <c:pt idx="372">
                  <c:v>483.92657993160606</c:v>
                </c:pt>
                <c:pt idx="373">
                  <c:v>483.92659798839702</c:v>
                </c:pt>
                <c:pt idx="374">
                  <c:v>483.92661538255345</c:v>
                </c:pt>
                <c:pt idx="375">
                  <c:v>483.92663213839222</c:v>
                </c:pt>
                <c:pt idx="376">
                  <c:v>483.92664827933783</c:v>
                </c:pt>
                <c:pt idx="377">
                  <c:v>483.92666382795517</c:v>
                </c:pt>
                <c:pt idx="378">
                  <c:v>483.92667880598106</c:v>
                </c:pt>
                <c:pt idx="379">
                  <c:v>483.92669323435462</c:v>
                </c:pt>
                <c:pt idx="380">
                  <c:v>483.92670713324657</c:v>
                </c:pt>
                <c:pt idx="381">
                  <c:v>483.92672052208746</c:v>
                </c:pt>
                <c:pt idx="382">
                  <c:v>483.92673341959471</c:v>
                </c:pt>
                <c:pt idx="383">
                  <c:v>483.92674584379893</c:v>
                </c:pt>
                <c:pt idx="384">
                  <c:v>483.92675781206907</c:v>
                </c:pt>
                <c:pt idx="385">
                  <c:v>483.92676934113666</c:v>
                </c:pt>
                <c:pt idx="386">
                  <c:v>483.9267804471192</c:v>
                </c:pt>
                <c:pt idx="387">
                  <c:v>483.92679114554272</c:v>
                </c:pt>
                <c:pt idx="388">
                  <c:v>483.92680145136353</c:v>
                </c:pt>
                <c:pt idx="389">
                  <c:v>483.9268113789891</c:v>
                </c:pt>
                <c:pt idx="390">
                  <c:v>483.92682094229815</c:v>
                </c:pt>
                <c:pt idx="391">
                  <c:v>483.92683015466008</c:v>
                </c:pt>
                <c:pt idx="392">
                  <c:v>483.92683902895368</c:v>
                </c:pt>
                <c:pt idx="393">
                  <c:v>483.92684757758514</c:v>
                </c:pt>
                <c:pt idx="394">
                  <c:v>483.92685581250532</c:v>
                </c:pt>
                <c:pt idx="395">
                  <c:v>483.92686374522663</c:v>
                </c:pt>
                <c:pt idx="396">
                  <c:v>483.92687138683885</c:v>
                </c:pt>
                <c:pt idx="397">
                  <c:v>483.92687874802499</c:v>
                </c:pt>
                <c:pt idx="398">
                  <c:v>483.92688583907585</c:v>
                </c:pt>
                <c:pt idx="399">
                  <c:v>483.92689266990465</c:v>
                </c:pt>
                <c:pt idx="400">
                  <c:v>483.92689925006084</c:v>
                </c:pt>
                <c:pt idx="401">
                  <c:v>483.92690558874341</c:v>
                </c:pt>
                <c:pt idx="402">
                  <c:v>483.92691169481378</c:v>
                </c:pt>
                <c:pt idx="403">
                  <c:v>483.92691757680814</c:v>
                </c:pt>
                <c:pt idx="404">
                  <c:v>483.9269232429495</c:v>
                </c:pt>
                <c:pt idx="405">
                  <c:v>483.92692870115906</c:v>
                </c:pt>
                <c:pt idx="406">
                  <c:v>483.92693395906736</c:v>
                </c:pt>
                <c:pt idx="407">
                  <c:v>483.92693902402488</c:v>
                </c:pt>
                <c:pt idx="408">
                  <c:v>483.92694390311243</c:v>
                </c:pt>
                <c:pt idx="409">
                  <c:v>483.92694860315089</c:v>
                </c:pt>
                <c:pt idx="410">
                  <c:v>483.9269531307109</c:v>
                </c:pt>
                <c:pt idx="411">
                  <c:v>483.92695749212191</c:v>
                </c:pt>
                <c:pt idx="412">
                  <c:v>483.92696169348113</c:v>
                </c:pt>
                <c:pt idx="413">
                  <c:v>483.92696574066201</c:v>
                </c:pt>
                <c:pt idx="414">
                  <c:v>483.92696963932252</c:v>
                </c:pt>
                <c:pt idx="415">
                  <c:v>483.92697339491292</c:v>
                </c:pt>
                <c:pt idx="416">
                  <c:v>483.92697701268349</c:v>
                </c:pt>
                <c:pt idx="417">
                  <c:v>483.92698049769183</c:v>
                </c:pt>
                <c:pt idx="418">
                  <c:v>483.92698385480992</c:v>
                </c:pt>
                <c:pt idx="419">
                  <c:v>483.92698708873104</c:v>
                </c:pt>
                <c:pt idx="420">
                  <c:v>483.92699020397617</c:v>
                </c:pt>
                <c:pt idx="421">
                  <c:v>483.92699320490038</c:v>
                </c:pt>
                <c:pt idx="422">
                  <c:v>483.92699609569894</c:v>
                </c:pt>
                <c:pt idx="423">
                  <c:v>483.92699888041312</c:v>
                </c:pt>
                <c:pt idx="424">
                  <c:v>483.92700156293597</c:v>
                </c:pt>
                <c:pt idx="425">
                  <c:v>483.92700414701761</c:v>
                </c:pt>
                <c:pt idx="426">
                  <c:v>483.92700663627056</c:v>
                </c:pt>
                <c:pt idx="427">
                  <c:v>483.92700903417477</c:v>
                </c:pt>
                <c:pt idx="428">
                  <c:v>483.92701134408253</c:v>
                </c:pt>
                <c:pt idx="429">
                  <c:v>483.92701356922299</c:v>
                </c:pt>
                <c:pt idx="430">
                  <c:v>483.92701571270692</c:v>
                </c:pt>
                <c:pt idx="431">
                  <c:v>483.92701777753092</c:v>
                </c:pt>
                <c:pt idx="432">
                  <c:v>483.92701976658157</c:v>
                </c:pt>
                <c:pt idx="433">
                  <c:v>483.92702168263952</c:v>
                </c:pt>
                <c:pt idx="434">
                  <c:v>483.92702352838342</c:v>
                </c:pt>
                <c:pt idx="435">
                  <c:v>483.9270253063936</c:v>
                </c:pt>
                <c:pt idx="436">
                  <c:v>483.92702701915567</c:v>
                </c:pt>
                <c:pt idx="437">
                  <c:v>483.9270286690641</c:v>
                </c:pt>
                <c:pt idx="438">
                  <c:v>483.92703025842542</c:v>
                </c:pt>
                <c:pt idx="439">
                  <c:v>483.92703178946158</c:v>
                </c:pt>
                <c:pt idx="440">
                  <c:v>483.92703326431291</c:v>
                </c:pt>
                <c:pt idx="441">
                  <c:v>483.92703468504129</c:v>
                </c:pt>
                <c:pt idx="442">
                  <c:v>483.92703605363283</c:v>
                </c:pt>
                <c:pt idx="443">
                  <c:v>483.92703737200083</c:v>
                </c:pt>
                <c:pt idx="444">
                  <c:v>483.92703864198836</c:v>
                </c:pt>
                <c:pt idx="445">
                  <c:v>483.92703986537083</c:v>
                </c:pt>
                <c:pt idx="446">
                  <c:v>483.92704104385854</c:v>
                </c:pt>
                <c:pt idx="447">
                  <c:v>483.92704217909898</c:v>
                </c:pt>
                <c:pt idx="448">
                  <c:v>483.92704327267921</c:v>
                </c:pt>
                <c:pt idx="449">
                  <c:v>483.92704432612805</c:v>
                </c:pt>
                <c:pt idx="450">
                  <c:v>483.92704534091826</c:v>
                </c:pt>
                <c:pt idx="451">
                  <c:v>483.92704631846846</c:v>
                </c:pt>
                <c:pt idx="452">
                  <c:v>483.92704726014523</c:v>
                </c:pt>
                <c:pt idx="453">
                  <c:v>483.92704816726507</c:v>
                </c:pt>
                <c:pt idx="454">
                  <c:v>483.9270490410961</c:v>
                </c:pt>
                <c:pt idx="455">
                  <c:v>483.92704988285993</c:v>
                </c:pt>
                <c:pt idx="456">
                  <c:v>483.92705069373335</c:v>
                </c:pt>
                <c:pt idx="457">
                  <c:v>483.92705147484992</c:v>
                </c:pt>
                <c:pt idx="458">
                  <c:v>483.92705222730166</c:v>
                </c:pt>
                <c:pt idx="459">
                  <c:v>483.92705295214051</c:v>
                </c:pt>
                <c:pt idx="460">
                  <c:v>483.92705365037978</c:v>
                </c:pt>
                <c:pt idx="461">
                  <c:v>483.92705432299556</c:v>
                </c:pt>
                <c:pt idx="462">
                  <c:v>483.92705497092822</c:v>
                </c:pt>
                <c:pt idx="463">
                  <c:v>483.92705559508352</c:v>
                </c:pt>
                <c:pt idx="464">
                  <c:v>483.92705619633404</c:v>
                </c:pt>
                <c:pt idx="465">
                  <c:v>483.92705677552033</c:v>
                </c:pt>
                <c:pt idx="466">
                  <c:v>483.92705733345207</c:v>
                </c:pt>
                <c:pt idx="467">
                  <c:v>483.92705787090927</c:v>
                </c:pt>
                <c:pt idx="468">
                  <c:v>483.92705838864327</c:v>
                </c:pt>
                <c:pt idx="469">
                  <c:v>483.92705888737783</c:v>
                </c:pt>
                <c:pt idx="470">
                  <c:v>483.92705936781022</c:v>
                </c:pt>
                <c:pt idx="471">
                  <c:v>483.92705983061205</c:v>
                </c:pt>
                <c:pt idx="472">
                  <c:v>483.92706027643032</c:v>
                </c:pt>
                <c:pt idx="473">
                  <c:v>483.92706070588832</c:v>
                </c:pt>
                <c:pt idx="474">
                  <c:v>483.92706111958637</c:v>
                </c:pt>
                <c:pt idx="475">
                  <c:v>483.92706151810285</c:v>
                </c:pt>
                <c:pt idx="476">
                  <c:v>483.92706190199488</c:v>
                </c:pt>
                <c:pt idx="477">
                  <c:v>483.92706227179912</c:v>
                </c:pt>
                <c:pt idx="478">
                  <c:v>483.92706262803256</c:v>
                </c:pt>
                <c:pt idx="479">
                  <c:v>483.92706297119321</c:v>
                </c:pt>
                <c:pt idx="480">
                  <c:v>483.92706330176082</c:v>
                </c:pt>
                <c:pt idx="481">
                  <c:v>483.92706362019749</c:v>
                </c:pt>
                <c:pt idx="482">
                  <c:v>483.92706392694845</c:v>
                </c:pt>
                <c:pt idx="483">
                  <c:v>483.92706422244248</c:v>
                </c:pt>
                <c:pt idx="484">
                  <c:v>483.92706450709267</c:v>
                </c:pt>
                <c:pt idx="485">
                  <c:v>483.92706478129696</c:v>
                </c:pt>
                <c:pt idx="486">
                  <c:v>483.92706504543872</c:v>
                </c:pt>
                <c:pt idx="487">
                  <c:v>483.9270652998872</c:v>
                </c:pt>
                <c:pt idx="488">
                  <c:v>483.92706554499813</c:v>
                </c:pt>
                <c:pt idx="489">
                  <c:v>483.92706578111415</c:v>
                </c:pt>
                <c:pt idx="490">
                  <c:v>483.92706600856536</c:v>
                </c:pt>
                <c:pt idx="491">
                  <c:v>483.92706622766974</c:v>
                </c:pt>
                <c:pt idx="492">
                  <c:v>483.92706643873362</c:v>
                </c:pt>
                <c:pt idx="493">
                  <c:v>483.92706664205201</c:v>
                </c:pt>
                <c:pt idx="494">
                  <c:v>483.92706683790919</c:v>
                </c:pt>
                <c:pt idx="495">
                  <c:v>483.92706702657898</c:v>
                </c:pt>
                <c:pt idx="496">
                  <c:v>483.92706720832507</c:v>
                </c:pt>
                <c:pt idx="497">
                  <c:v>483.92706738340161</c:v>
                </c:pt>
                <c:pt idx="498">
                  <c:v>483.9270675520533</c:v>
                </c:pt>
                <c:pt idx="499">
                  <c:v>483.92706771451594</c:v>
                </c:pt>
                <c:pt idx="500">
                  <c:v>483.92706787101667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B-43DC-BFCC-FA44ED67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假设1!$F$1</c:f>
              <c:strCache>
                <c:ptCount val="1"/>
                <c:pt idx="0">
                  <c:v>现金流折现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假设1!$A$4:$A$504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假设1!$F$4:$F$504</c:f>
              <c:numCache>
                <c:formatCode>0.00_ ;[Red]\-0.00\ </c:formatCode>
                <c:ptCount val="501"/>
                <c:pt idx="0">
                  <c:v>8.7357798165137588</c:v>
                </c:pt>
                <c:pt idx="1">
                  <c:v>9.2166484302668081</c:v>
                </c:pt>
                <c:pt idx="2">
                  <c:v>9.7239868759695671</c:v>
                </c:pt>
                <c:pt idx="3">
                  <c:v>10.259252208591743</c:v>
                </c:pt>
                <c:pt idx="4">
                  <c:v>10.823981687963764</c:v>
                </c:pt>
                <c:pt idx="5">
                  <c:v>11.419797193723234</c:v>
                </c:pt>
                <c:pt idx="6">
                  <c:v>12.048409883285979</c:v>
                </c:pt>
                <c:pt idx="7">
                  <c:v>12.711625106219149</c:v>
                </c:pt>
                <c:pt idx="8">
                  <c:v>13.411347589130294</c:v>
                </c:pt>
                <c:pt idx="9">
                  <c:v>14.149586905963153</c:v>
                </c:pt>
                <c:pt idx="11">
                  <c:v>13.630336010331478</c:v>
                </c:pt>
                <c:pt idx="12">
                  <c:v>13.130140193438582</c:v>
                </c:pt>
                <c:pt idx="13">
                  <c:v>12.648300186339918</c:v>
                </c:pt>
                <c:pt idx="14">
                  <c:v>12.184142381336619</c:v>
                </c:pt>
                <c:pt idx="15">
                  <c:v>11.737017890278395</c:v>
                </c:pt>
                <c:pt idx="16">
                  <c:v>11.306301637424141</c:v>
                </c:pt>
                <c:pt idx="17">
                  <c:v>10.891391485592063</c:v>
                </c:pt>
                <c:pt idx="18">
                  <c:v>10.491707394377674</c:v>
                </c:pt>
                <c:pt idx="19">
                  <c:v>10.106690609262897</c:v>
                </c:pt>
                <c:pt idx="20">
                  <c:v>9.7358028804826056</c:v>
                </c:pt>
                <c:pt idx="21">
                  <c:v>9.3785257105566391</c:v>
                </c:pt>
                <c:pt idx="22">
                  <c:v>9.0343596294352952</c:v>
                </c:pt>
                <c:pt idx="23">
                  <c:v>8.7028234962450082</c:v>
                </c:pt>
                <c:pt idx="24">
                  <c:v>8.3834538266580374</c:v>
                </c:pt>
                <c:pt idx="25">
                  <c:v>8.0758041449458151</c:v>
                </c:pt>
                <c:pt idx="26">
                  <c:v>7.7794443598101903</c:v>
                </c:pt>
                <c:pt idx="27">
                  <c:v>7.4939601631199073</c:v>
                </c:pt>
                <c:pt idx="28">
                  <c:v>7.2189524507118383</c:v>
                </c:pt>
                <c:pt idx="29">
                  <c:v>6.9540367644471823</c:v>
                </c:pt>
                <c:pt idx="30">
                  <c:v>6.6988427547426985</c:v>
                </c:pt>
                <c:pt idx="31">
                  <c:v>6.4530136628255352</c:v>
                </c:pt>
                <c:pt idx="32">
                  <c:v>6.2162058219879004</c:v>
                </c:pt>
                <c:pt idx="33">
                  <c:v>5.9880881771443075</c:v>
                </c:pt>
                <c:pt idx="34">
                  <c:v>5.7683418220197451</c:v>
                </c:pt>
                <c:pt idx="35">
                  <c:v>5.5566595533217731</c:v>
                </c:pt>
                <c:pt idx="36">
                  <c:v>5.3527454412732673</c:v>
                </c:pt>
                <c:pt idx="37">
                  <c:v>5.1563144159054408</c:v>
                </c:pt>
                <c:pt idx="38">
                  <c:v>4.9670918685327647</c:v>
                </c:pt>
                <c:pt idx="39">
                  <c:v>4.7848132678526625</c:v>
                </c:pt>
                <c:pt idx="40">
                  <c:v>4.6092237901332993</c:v>
                </c:pt>
                <c:pt idx="41">
                  <c:v>4.4400779629724445</c:v>
                </c:pt>
                <c:pt idx="42">
                  <c:v>4.2771393221294183</c:v>
                </c:pt>
                <c:pt idx="43">
                  <c:v>4.120180080950357</c:v>
                </c:pt>
                <c:pt idx="44">
                  <c:v>3.9689808119246561</c:v>
                </c:pt>
                <c:pt idx="45">
                  <c:v>3.8233301399274215</c:v>
                </c:pt>
                <c:pt idx="46">
                  <c:v>3.6830244467190756</c:v>
                </c:pt>
                <c:pt idx="47">
                  <c:v>3.5478675862890179</c:v>
                </c:pt>
                <c:pt idx="48">
                  <c:v>3.4176706106453842</c:v>
                </c:pt>
                <c:pt idx="49">
                  <c:v>3.2922515056675716</c:v>
                </c:pt>
                <c:pt idx="50">
                  <c:v>3.1714349366522478</c:v>
                </c:pt>
                <c:pt idx="51">
                  <c:v>3.0550520031971198</c:v>
                </c:pt>
                <c:pt idx="52">
                  <c:v>2.9429400030797943</c:v>
                </c:pt>
                <c:pt idx="53">
                  <c:v>2.8349422048016364</c:v>
                </c:pt>
                <c:pt idx="54">
                  <c:v>2.7309076284786404</c:v>
                </c:pt>
                <c:pt idx="55">
                  <c:v>2.6306908347730027</c:v>
                </c:pt>
                <c:pt idx="56">
                  <c:v>2.534151721570324</c:v>
                </c:pt>
                <c:pt idx="57">
                  <c:v>2.4411553281182021</c:v>
                </c:pt>
                <c:pt idx="58">
                  <c:v>2.3515716463523963</c:v>
                </c:pt>
                <c:pt idx="59">
                  <c:v>2.2652754391468037</c:v>
                </c:pt>
                <c:pt idx="60">
                  <c:v>2.1821460652331592</c:v>
                </c:pt>
                <c:pt idx="61">
                  <c:v>2.1020673105457037</c:v>
                </c:pt>
                <c:pt idx="62">
                  <c:v>2.0249272257550355</c:v>
                </c:pt>
                <c:pt idx="63">
                  <c:v>1.9506179697640251</c:v>
                </c:pt>
                <c:pt idx="64">
                  <c:v>1.8790356589469965</c:v>
                </c:pt>
                <c:pt idx="65">
                  <c:v>1.8100802219214187</c:v>
                </c:pt>
                <c:pt idx="66">
                  <c:v>1.7436552596490731</c:v>
                </c:pt>
                <c:pt idx="67">
                  <c:v>1.6796679106711254</c:v>
                </c:pt>
                <c:pt idx="68">
                  <c:v>1.6180287212886988</c:v>
                </c:pt>
                <c:pt idx="69">
                  <c:v>1.558651520507462</c:v>
                </c:pt>
                <c:pt idx="70">
                  <c:v>1.5014532995714085</c:v>
                </c:pt>
                <c:pt idx="71">
                  <c:v>1.4463540959174117</c:v>
                </c:pt>
                <c:pt idx="72">
                  <c:v>1.3932768813883325</c:v>
                </c:pt>
                <c:pt idx="73">
                  <c:v>1.3421474545483936</c:v>
                </c:pt>
                <c:pt idx="74">
                  <c:v>1.2928943369502872</c:v>
                </c:pt>
                <c:pt idx="75">
                  <c:v>1.2454486732089922</c:v>
                </c:pt>
                <c:pt idx="76">
                  <c:v>1.1997441347426074</c:v>
                </c:pt>
                <c:pt idx="77">
                  <c:v>1.1557168270456308</c:v>
                </c:pt>
                <c:pt idx="78">
                  <c:v>1.1133052003650572</c:v>
                </c:pt>
                <c:pt idx="79">
                  <c:v>1.0724499636544127</c:v>
                </c:pt>
                <c:pt idx="80">
                  <c:v>1.0330940016854435</c:v>
                </c:pt>
                <c:pt idx="81">
                  <c:v>0.99518229520157386</c:v>
                </c:pt>
                <c:pt idx="82">
                  <c:v>0.95866184400151611</c:v>
                </c:pt>
                <c:pt idx="83">
                  <c:v>0.92348159284549713</c:v>
                </c:pt>
                <c:pt idx="84">
                  <c:v>0.88959236008052467</c:v>
                </c:pt>
                <c:pt idx="85">
                  <c:v>0.85694676888490906</c:v>
                </c:pt>
                <c:pt idx="86">
                  <c:v>0.82549918103592146</c:v>
                </c:pt>
                <c:pt idx="87">
                  <c:v>0.79520563310799763</c:v>
                </c:pt>
                <c:pt idx="88">
                  <c:v>0.76602377501229135</c:v>
                </c:pt>
                <c:pt idx="89">
                  <c:v>0.73791281079165683</c:v>
                </c:pt>
                <c:pt idx="90">
                  <c:v>0.7108334415882932</c:v>
                </c:pt>
                <c:pt idx="91">
                  <c:v>0.68474781070431912</c:v>
                </c:pt>
                <c:pt idx="92">
                  <c:v>0.6596194506784725</c:v>
                </c:pt>
                <c:pt idx="93">
                  <c:v>0.6354132323049505</c:v>
                </c:pt>
                <c:pt idx="94">
                  <c:v>0.61209531552311736</c:v>
                </c:pt>
                <c:pt idx="95">
                  <c:v>0.58963310210942499</c:v>
                </c:pt>
                <c:pt idx="96">
                  <c:v>0.56799519010540944</c:v>
                </c:pt>
                <c:pt idx="97">
                  <c:v>0.54715132991805493</c:v>
                </c:pt>
                <c:pt idx="98">
                  <c:v>0.52707238203115381</c:v>
                </c:pt>
                <c:pt idx="99">
                  <c:v>0.50773027626854261</c:v>
                </c:pt>
                <c:pt idx="100">
                  <c:v>0.48909797255226589</c:v>
                </c:pt>
                <c:pt idx="101">
                  <c:v>0.4711494231008066</c:v>
                </c:pt>
                <c:pt idx="102">
                  <c:v>0.45385953601453843</c:v>
                </c:pt>
                <c:pt idx="103">
                  <c:v>0.43720414019749115</c:v>
                </c:pt>
                <c:pt idx="104">
                  <c:v>0.42115995156639052</c:v>
                </c:pt>
                <c:pt idx="105">
                  <c:v>0.40570454049973398</c:v>
                </c:pt>
                <c:pt idx="106">
                  <c:v>0.3908163004813951</c:v>
                </c:pt>
                <c:pt idx="107">
                  <c:v>0.37647441789492186</c:v>
                </c:pt>
                <c:pt idx="108">
                  <c:v>0.36265884292630085</c:v>
                </c:pt>
                <c:pt idx="109">
                  <c:v>0.34935026153451004</c:v>
                </c:pt>
                <c:pt idx="110">
                  <c:v>0.33653006845067485</c:v>
                </c:pt>
                <c:pt idx="111">
                  <c:v>0.3241803411680812</c:v>
                </c:pt>
                <c:pt idx="112">
                  <c:v>0.31228381488668366</c:v>
                </c:pt>
                <c:pt idx="113">
                  <c:v>0.30082385837708064</c:v>
                </c:pt>
                <c:pt idx="114">
                  <c:v>0.28978445073021525</c:v>
                </c:pt>
                <c:pt idx="115">
                  <c:v>0.2791501589602991</c:v>
                </c:pt>
                <c:pt idx="116">
                  <c:v>0.26890611642964596</c:v>
                </c:pt>
                <c:pt idx="117">
                  <c:v>0.25903800206525524</c:v>
                </c:pt>
                <c:pt idx="118">
                  <c:v>0.24953202033808994</c:v>
                </c:pt>
                <c:pt idx="119">
                  <c:v>0.24037488197705914</c:v>
                </c:pt>
                <c:pt idx="120">
                  <c:v>0.23155378539074503</c:v>
                </c:pt>
                <c:pt idx="121">
                  <c:v>0.22305639877090117</c:v>
                </c:pt>
                <c:pt idx="122">
                  <c:v>0.21487084285270294</c:v>
                </c:pt>
                <c:pt idx="123">
                  <c:v>0.20698567430764964</c:v>
                </c:pt>
                <c:pt idx="124">
                  <c:v>0.19938986974590103</c:v>
                </c:pt>
                <c:pt idx="125">
                  <c:v>0.19207281030568449</c:v>
                </c:pt>
                <c:pt idx="126">
                  <c:v>0.1850242668082282</c:v>
                </c:pt>
                <c:pt idx="127">
                  <c:v>0.17823438545746753</c:v>
                </c:pt>
                <c:pt idx="128">
                  <c:v>0.17169367406453295</c:v>
                </c:pt>
                <c:pt idx="129">
                  <c:v>0.16539298877776112</c:v>
                </c:pt>
                <c:pt idx="130">
                  <c:v>0.15932352129967814</c:v>
                </c:pt>
                <c:pt idx="131">
                  <c:v>0.15347678657308444</c:v>
                </c:pt>
                <c:pt idx="132">
                  <c:v>0.14784461091902629</c:v>
                </c:pt>
                <c:pt idx="133">
                  <c:v>0.14241912061007117</c:v>
                </c:pt>
                <c:pt idx="134">
                  <c:v>0.13719273086291259</c:v>
                </c:pt>
                <c:pt idx="135">
                  <c:v>0.13215813523491579</c:v>
                </c:pt>
                <c:pt idx="136">
                  <c:v>0.12730829540978125</c:v>
                </c:pt>
                <c:pt idx="137">
                  <c:v>0.12263643135804615</c:v>
                </c:pt>
                <c:pt idx="138">
                  <c:v>0.1181360118586683</c:v>
                </c:pt>
                <c:pt idx="139">
                  <c:v>0.11380074536844194</c:v>
                </c:pt>
                <c:pt idx="140">
                  <c:v>0.10962457122648078</c:v>
                </c:pt>
                <c:pt idx="141">
                  <c:v>0.10560165118147231</c:v>
                </c:pt>
                <c:pt idx="142">
                  <c:v>0.10172636122985863</c:v>
                </c:pt>
                <c:pt idx="143">
                  <c:v>9.7993283753533542E-2</c:v>
                </c:pt>
                <c:pt idx="144">
                  <c:v>9.4397199946064408E-2</c:v>
                </c:pt>
                <c:pt idx="145">
                  <c:v>9.0933082516851046E-2</c:v>
                </c:pt>
                <c:pt idx="146">
                  <c:v>8.759608866302164E-2</c:v>
                </c:pt>
                <c:pt idx="147">
                  <c:v>8.4381553299241019E-2</c:v>
                </c:pt>
                <c:pt idx="148">
                  <c:v>8.128498253596611E-2</c:v>
                </c:pt>
                <c:pt idx="149">
                  <c:v>7.8302047397031574E-2</c:v>
                </c:pt>
                <c:pt idx="150">
                  <c:v>7.5428577767782695E-2</c:v>
                </c:pt>
                <c:pt idx="151">
                  <c:v>7.2660556565295242E-2</c:v>
                </c:pt>
                <c:pt idx="152">
                  <c:v>6.999411412253212E-2</c:v>
                </c:pt>
                <c:pt idx="153">
                  <c:v>6.7425522778585989E-2</c:v>
                </c:pt>
                <c:pt idx="154">
                  <c:v>6.4951191667445216E-2</c:v>
                </c:pt>
                <c:pt idx="155">
                  <c:v>6.256766169799767E-2</c:v>
                </c:pt>
                <c:pt idx="156">
                  <c:v>6.0271600718254638E-2</c:v>
                </c:pt>
                <c:pt idx="157">
                  <c:v>5.8059798857034287E-2</c:v>
                </c:pt>
                <c:pt idx="158">
                  <c:v>5.5929164036592663E-2</c:v>
                </c:pt>
                <c:pt idx="159">
                  <c:v>5.3876717649928713E-2</c:v>
                </c:pt>
                <c:pt idx="160">
                  <c:v>5.1899590396720305E-2</c:v>
                </c:pt>
                <c:pt idx="161">
                  <c:v>4.9995018272070021E-2</c:v>
                </c:pt>
                <c:pt idx="162">
                  <c:v>4.8160338702452767E-2</c:v>
                </c:pt>
                <c:pt idx="163">
                  <c:v>4.6392986823463676E-2</c:v>
                </c:pt>
                <c:pt idx="164">
                  <c:v>4.4690491894162257E-2</c:v>
                </c:pt>
                <c:pt idx="165">
                  <c:v>4.3050473843000335E-2</c:v>
                </c:pt>
                <c:pt idx="166">
                  <c:v>4.1470639940504907E-2</c:v>
                </c:pt>
                <c:pt idx="167">
                  <c:v>3.9948781594064363E-2</c:v>
                </c:pt>
                <c:pt idx="168">
                  <c:v>3.848277126033723E-2</c:v>
                </c:pt>
                <c:pt idx="169">
                  <c:v>3.7070559470967053E-2</c:v>
                </c:pt>
                <c:pt idx="170">
                  <c:v>3.5710171967445324E-2</c:v>
                </c:pt>
                <c:pt idx="171">
                  <c:v>3.4399706941117054E-2</c:v>
                </c:pt>
                <c:pt idx="172">
                  <c:v>3.3137332374470557E-2</c:v>
                </c:pt>
                <c:pt idx="173">
                  <c:v>3.1921283479994574E-2</c:v>
                </c:pt>
                <c:pt idx="174">
                  <c:v>3.07498602330223E-2</c:v>
                </c:pt>
                <c:pt idx="175">
                  <c:v>2.9621424995113221E-2</c:v>
                </c:pt>
                <c:pt idx="176">
                  <c:v>2.8534400224650348E-2</c:v>
                </c:pt>
                <c:pt idx="177">
                  <c:v>2.748726627145217E-2</c:v>
                </c:pt>
                <c:pt idx="178">
                  <c:v>2.6478559252316309E-2</c:v>
                </c:pt>
                <c:pt idx="179">
                  <c:v>2.5506869004524885E-2</c:v>
                </c:pt>
                <c:pt idx="180">
                  <c:v>2.4570837114450576E-2</c:v>
                </c:pt>
                <c:pt idx="181">
                  <c:v>2.3669155018507429E-2</c:v>
                </c:pt>
                <c:pt idx="182">
                  <c:v>2.2800562173791561E-2</c:v>
                </c:pt>
                <c:pt idx="183">
                  <c:v>2.1963844295854257E-2</c:v>
                </c:pt>
                <c:pt idx="184">
                  <c:v>2.115783166114401E-2</c:v>
                </c:pt>
                <c:pt idx="185">
                  <c:v>2.0381397471744229E-2</c:v>
                </c:pt>
                <c:pt idx="186">
                  <c:v>1.963345628012059E-2</c:v>
                </c:pt>
                <c:pt idx="187">
                  <c:v>1.8912962471675798E-2</c:v>
                </c:pt>
                <c:pt idx="188">
                  <c:v>1.8218908802990447E-2</c:v>
                </c:pt>
                <c:pt idx="189">
                  <c:v>1.7550324993706394E-2</c:v>
                </c:pt>
                <c:pt idx="190">
                  <c:v>1.6906276370084142E-2</c:v>
                </c:pt>
                <c:pt idx="191">
                  <c:v>1.6285862558337933E-2</c:v>
                </c:pt>
                <c:pt idx="192">
                  <c:v>1.5688216225921859E-2</c:v>
                </c:pt>
                <c:pt idx="193">
                  <c:v>1.5112501869007295E-2</c:v>
                </c:pt>
                <c:pt idx="194">
                  <c:v>1.4557914644456566E-2</c:v>
                </c:pt>
                <c:pt idx="195">
                  <c:v>1.4023679244659994E-2</c:v>
                </c:pt>
                <c:pt idx="196">
                  <c:v>1.3509048813663297E-2</c:v>
                </c:pt>
                <c:pt idx="197">
                  <c:v>1.3013303903070149E-2</c:v>
                </c:pt>
                <c:pt idx="198">
                  <c:v>1.2535751466260237E-2</c:v>
                </c:pt>
                <c:pt idx="199">
                  <c:v>1.207572388951674E-2</c:v>
                </c:pt>
                <c:pt idx="200">
                  <c:v>1.1632578058708785E-2</c:v>
                </c:pt>
                <c:pt idx="201">
                  <c:v>1.1205694460224061E-2</c:v>
                </c:pt>
                <c:pt idx="202">
                  <c:v>1.0794476314894736E-2</c:v>
                </c:pt>
                <c:pt idx="203">
                  <c:v>1.0398348743705939E-2</c:v>
                </c:pt>
                <c:pt idx="204">
                  <c:v>1.0016757964120399E-2</c:v>
                </c:pt>
                <c:pt idx="205">
                  <c:v>9.6491705158957969E-3</c:v>
                </c:pt>
                <c:pt idx="206">
                  <c:v>9.2950725153124643E-3</c:v>
                </c:pt>
                <c:pt idx="207">
                  <c:v>8.9539689367688878E-3</c:v>
                </c:pt>
                <c:pt idx="208">
                  <c:v>8.6253829207406721E-3</c:v>
                </c:pt>
                <c:pt idx="209">
                  <c:v>8.3088551071355092E-3</c:v>
                </c:pt>
                <c:pt idx="210">
                  <c:v>8.003942993112188E-3</c:v>
                </c:pt>
                <c:pt idx="211">
                  <c:v>7.7102203144658703E-3</c:v>
                </c:pt>
                <c:pt idx="212">
                  <c:v>7.4272764497148296E-3</c:v>
                </c:pt>
                <c:pt idx="213">
                  <c:v>7.1547158460555692E-3</c:v>
                </c:pt>
                <c:pt idx="214">
                  <c:v>6.8921574663838043E-3</c:v>
                </c:pt>
                <c:pt idx="215">
                  <c:v>6.6392342566082519E-3</c:v>
                </c:pt>
                <c:pt idx="216">
                  <c:v>6.3955926325125357E-3</c:v>
                </c:pt>
                <c:pt idx="217">
                  <c:v>6.1608919854478561E-3</c:v>
                </c:pt>
                <c:pt idx="218">
                  <c:v>5.9348042061653661E-3</c:v>
                </c:pt>
                <c:pt idx="219">
                  <c:v>5.7170132261225998E-3</c:v>
                </c:pt>
                <c:pt idx="220">
                  <c:v>5.5072145756226883E-3</c:v>
                </c:pt>
                <c:pt idx="221">
                  <c:v>5.3051149581686448E-3</c:v>
                </c:pt>
                <c:pt idx="222">
                  <c:v>5.1104318404376859E-3</c:v>
                </c:pt>
                <c:pt idx="223">
                  <c:v>4.9228930573023575E-3</c:v>
                </c:pt>
                <c:pt idx="224">
                  <c:v>4.742236431346308E-3</c:v>
                </c:pt>
                <c:pt idx="225">
                  <c:v>4.568209406342773E-3</c:v>
                </c:pt>
                <c:pt idx="226">
                  <c:v>4.4005686941834057E-3</c:v>
                </c:pt>
                <c:pt idx="227">
                  <c:v>4.2390799347638312E-3</c:v>
                </c:pt>
                <c:pt idx="228">
                  <c:v>4.0835173683504804E-3</c:v>
                </c:pt>
                <c:pt idx="229">
                  <c:v>3.933663519970646E-3</c:v>
                </c:pt>
                <c:pt idx="230">
                  <c:v>3.7893088953845667E-3</c:v>
                </c:pt>
                <c:pt idx="231">
                  <c:v>3.6502516882144912E-3</c:v>
                </c:pt>
                <c:pt idx="232">
                  <c:v>3.5162974978212983E-3</c:v>
                </c:pt>
                <c:pt idx="233">
                  <c:v>3.3872590575342778E-3</c:v>
                </c:pt>
                <c:pt idx="234">
                  <c:v>3.2629559728541207E-3</c:v>
                </c:pt>
                <c:pt idx="235">
                  <c:v>3.1432144692631436E-3</c:v>
                </c:pt>
                <c:pt idx="236">
                  <c:v>3.027867149290184E-3</c:v>
                </c:pt>
                <c:pt idx="237">
                  <c:v>2.9167527584905441E-3</c:v>
                </c:pt>
                <c:pt idx="238">
                  <c:v>2.8097159600138271E-3</c:v>
                </c:pt>
                <c:pt idx="239">
                  <c:v>2.7066071174445122E-3</c:v>
                </c:pt>
                <c:pt idx="240">
                  <c:v>2.6072820856116864E-3</c:v>
                </c:pt>
                <c:pt idx="241">
                  <c:v>2.5116020090754777E-3</c:v>
                </c:pt>
                <c:pt idx="242">
                  <c:v>2.4194331280084874E-3</c:v>
                </c:pt>
                <c:pt idx="243">
                  <c:v>2.3306465912008366E-3</c:v>
                </c:pt>
                <c:pt idx="244">
                  <c:v>2.2451182759274111E-3</c:v>
                </c:pt>
                <c:pt idx="245">
                  <c:v>2.1627286144254875E-3</c:v>
                </c:pt>
                <c:pt idx="246">
                  <c:v>2.0833624267401485E-3</c:v>
                </c:pt>
                <c:pt idx="247">
                  <c:v>2.0069087597038128E-3</c:v>
                </c:pt>
                <c:pt idx="248">
                  <c:v>1.9332607318247738E-3</c:v>
                </c:pt>
                <c:pt idx="249">
                  <c:v>1.8623153838679015E-3</c:v>
                </c:pt>
                <c:pt idx="250">
                  <c:v>1.7939735349186204E-3</c:v>
                </c:pt>
                <c:pt idx="251">
                  <c:v>1.7281396437289463E-3</c:v>
                </c:pt>
                <c:pt idx="252">
                  <c:v>1.6647216751517373E-3</c:v>
                </c:pt>
                <c:pt idx="253">
                  <c:v>1.6036309714764442E-3</c:v>
                </c:pt>
                <c:pt idx="254">
                  <c:v>1.5447821284864827E-3</c:v>
                </c:pt>
                <c:pt idx="255">
                  <c:v>1.4880928760649605E-3</c:v>
                </c:pt>
                <c:pt idx="256">
                  <c:v>1.4334839631818426E-3</c:v>
                </c:pt>
                <c:pt idx="257">
                  <c:v>1.380879047101775E-3</c:v>
                </c:pt>
                <c:pt idx="258">
                  <c:v>1.3302045866576729E-3</c:v>
                </c:pt>
                <c:pt idx="259">
                  <c:v>1.2813897394408776E-3</c:v>
                </c:pt>
                <c:pt idx="260">
                  <c:v>1.2343662627641481E-3</c:v>
                </c:pt>
                <c:pt idx="261">
                  <c:v>1.1890684182590417E-3</c:v>
                </c:pt>
                <c:pt idx="262">
                  <c:v>1.1454328799743061E-3</c:v>
                </c:pt>
                <c:pt idx="263">
                  <c:v>1.1033986458468086E-3</c:v>
                </c:pt>
                <c:pt idx="264">
                  <c:v>1.0629069524212375E-3</c:v>
                </c:pt>
                <c:pt idx="265">
                  <c:v>1.0239011926993574E-3</c:v>
                </c:pt>
                <c:pt idx="266">
                  <c:v>9.8632683700396791E-4</c:v>
                </c:pt>
                <c:pt idx="267">
                  <c:v>9.5013135674694156E-4</c:v>
                </c:pt>
                <c:pt idx="268">
                  <c:v>9.1526415099476015E-4</c:v>
                </c:pt>
                <c:pt idx="269">
                  <c:v>8.8167647572889732E-4</c:v>
                </c:pt>
                <c:pt idx="270">
                  <c:v>8.4932137570214886E-4</c:v>
                </c:pt>
                <c:pt idx="271">
                  <c:v>8.1815361879564793E-4</c:v>
                </c:pt>
                <c:pt idx="272">
                  <c:v>7.8812963278479845E-4</c:v>
                </c:pt>
                <c:pt idx="273">
                  <c:v>7.5920744442572335E-4</c:v>
                </c:pt>
                <c:pt idx="274">
                  <c:v>7.3134662077707288E-4</c:v>
                </c:pt>
                <c:pt idx="275">
                  <c:v>7.0450821267516194E-4</c:v>
                </c:pt>
                <c:pt idx="276">
                  <c:v>6.7865470028341296E-4</c:v>
                </c:pt>
                <c:pt idx="277">
                  <c:v>6.5374994063998487E-4</c:v>
                </c:pt>
                <c:pt idx="278">
                  <c:v>6.297591171302607E-4</c:v>
                </c:pt>
                <c:pt idx="279">
                  <c:v>6.0664869081355382E-4</c:v>
                </c:pt>
                <c:pt idx="280">
                  <c:v>5.8438635353599225E-4</c:v>
                </c:pt>
                <c:pt idx="281">
                  <c:v>5.6294098276402917E-4</c:v>
                </c:pt>
                <c:pt idx="282">
                  <c:v>5.4228259807544089E-4</c:v>
                </c:pt>
                <c:pt idx="283">
                  <c:v>5.2238231924698437E-4</c:v>
                </c:pt>
                <c:pt idx="284">
                  <c:v>5.0321232588012253E-4</c:v>
                </c:pt>
                <c:pt idx="285">
                  <c:v>4.8474581850837487E-4</c:v>
                </c:pt>
                <c:pt idx="286">
                  <c:v>4.6695698113192075E-4</c:v>
                </c:pt>
                <c:pt idx="287">
                  <c:v>4.498209451270796E-4</c:v>
                </c:pt>
                <c:pt idx="288">
                  <c:v>4.3331375448021431E-4</c:v>
                </c:pt>
                <c:pt idx="289">
                  <c:v>4.1741233229745413E-4</c:v>
                </c:pt>
                <c:pt idx="290">
                  <c:v>4.0209444854341913E-4</c:v>
                </c:pt>
                <c:pt idx="291">
                  <c:v>3.8733868896384413E-4</c:v>
                </c:pt>
                <c:pt idx="292">
                  <c:v>3.7312442514865718E-4</c:v>
                </c:pt>
                <c:pt idx="293">
                  <c:v>3.5943178569366064E-4</c:v>
                </c:pt>
                <c:pt idx="294">
                  <c:v>3.4624162842049875E-4</c:v>
                </c:pt>
                <c:pt idx="295">
                  <c:v>3.3353551361607679E-4</c:v>
                </c:pt>
                <c:pt idx="296">
                  <c:v>3.212956782540189E-4</c:v>
                </c:pt>
                <c:pt idx="297">
                  <c:v>3.0950501116212831E-4</c:v>
                </c:pt>
                <c:pt idx="298">
                  <c:v>2.9814702910113276E-4</c:v>
                </c:pt>
                <c:pt idx="299">
                  <c:v>2.8720585372127468E-4</c:v>
                </c:pt>
                <c:pt idx="300">
                  <c:v>2.7666618936453063E-4</c:v>
                </c:pt>
                <c:pt idx="301">
                  <c:v>2.6651330168142861E-4</c:v>
                </c:pt>
                <c:pt idx="302">
                  <c:v>2.5673299703256883E-4</c:v>
                </c:pt>
                <c:pt idx="303">
                  <c:v>2.4731160264605253E-4</c:v>
                </c:pt>
                <c:pt idx="304">
                  <c:v>2.3823594750307811E-4</c:v>
                </c:pt>
                <c:pt idx="305">
                  <c:v>2.2949334392498348E-4</c:v>
                </c:pt>
                <c:pt idx="306">
                  <c:v>2.2107156983599324E-4</c:v>
                </c:pt>
                <c:pt idx="307">
                  <c:v>2.1295885167687422E-4</c:v>
                </c:pt>
                <c:pt idx="308">
                  <c:v>2.0514384794561278E-4</c:v>
                </c:pt>
                <c:pt idx="309">
                  <c:v>1.9761563334210405E-4</c:v>
                </c:pt>
                <c:pt idx="310">
                  <c:v>1.9036368349468734E-4</c:v>
                </c:pt>
                <c:pt idx="311">
                  <c:v>1.8337786024717585E-4</c:v>
                </c:pt>
                <c:pt idx="312">
                  <c:v>1.7664839748581161E-4</c:v>
                </c:pt>
                <c:pt idx="313">
                  <c:v>1.7016588748633229E-4</c:v>
                </c:pt>
                <c:pt idx="314">
                  <c:v>1.639212677620632E-4</c:v>
                </c:pt>
                <c:pt idx="315">
                  <c:v>1.5790580839464803E-4</c:v>
                </c:pt>
                <c:pt idx="316">
                  <c:v>1.5211109982970681E-4</c:v>
                </c:pt>
                <c:pt idx="317">
                  <c:v>1.4652904112035978E-4</c:v>
                </c:pt>
                <c:pt idx="318">
                  <c:v>1.4115182860218142E-4</c:v>
                </c:pt>
                <c:pt idx="319">
                  <c:v>1.3597194498375274E-4</c:v>
                </c:pt>
                <c:pt idx="320">
                  <c:v>1.3098214883755998E-4</c:v>
                </c:pt>
                <c:pt idx="321">
                  <c:v>1.261754644765486E-4</c:v>
                </c:pt>
                <c:pt idx="322">
                  <c:v>1.2154517220217986E-4</c:v>
                </c:pt>
                <c:pt idx="323">
                  <c:v>1.1708479891035674E-4</c:v>
                </c:pt>
                <c:pt idx="324">
                  <c:v>1.1278810904208675E-4</c:v>
                </c:pt>
                <c:pt idx="325">
                  <c:v>1.0864909586623036E-4</c:v>
                </c:pt>
                <c:pt idx="326">
                  <c:v>1.0466197308214852E-4</c:v>
                </c:pt>
                <c:pt idx="327">
                  <c:v>1.0082116673051004E-4</c:v>
                </c:pt>
                <c:pt idx="328">
                  <c:v>9.7121307400950053E-5</c:v>
                </c:pt>
                <c:pt idx="329">
                  <c:v>9.3557222725685821E-5</c:v>
                </c:pt>
                <c:pt idx="330">
                  <c:v>9.0123930148596442E-5</c:v>
                </c:pt>
                <c:pt idx="331">
                  <c:v>8.6816629959657115E-5</c:v>
                </c:pt>
                <c:pt idx="332">
                  <c:v>8.3630698584990796E-5</c:v>
                </c:pt>
                <c:pt idx="333">
                  <c:v>8.0561682123156275E-5</c:v>
                </c:pt>
                <c:pt idx="334">
                  <c:v>7.7605290118636769E-5</c:v>
                </c:pt>
                <c:pt idx="335">
                  <c:v>7.4757389563824412E-5</c:v>
                </c:pt>
                <c:pt idx="336">
                  <c:v>7.2013999121115272E-5</c:v>
                </c:pt>
                <c:pt idx="337">
                  <c:v>6.9371283557037643E-5</c:v>
                </c:pt>
                <c:pt idx="338">
                  <c:v>6.6825548380632582E-5</c:v>
                </c:pt>
                <c:pt idx="339">
                  <c:v>6.4373234678591029E-5</c:v>
                </c:pt>
                <c:pt idx="340">
                  <c:v>6.2010914139927123E-5</c:v>
                </c:pt>
                <c:pt idx="341">
                  <c:v>5.9735284263232544E-5</c:v>
                </c:pt>
                <c:pt idx="342">
                  <c:v>5.7543163739811167E-5</c:v>
                </c:pt>
                <c:pt idx="343">
                  <c:v>5.5431488006240112E-5</c:v>
                </c:pt>
                <c:pt idx="344">
                  <c:v>5.3397304960139556E-5</c:v>
                </c:pt>
                <c:pt idx="345">
                  <c:v>5.1437770833161958E-5</c:v>
                </c:pt>
                <c:pt idx="346">
                  <c:v>4.9550146215431247E-5</c:v>
                </c:pt>
                <c:pt idx="347">
                  <c:v>4.7731792225874143E-5</c:v>
                </c:pt>
                <c:pt idx="348">
                  <c:v>4.598016682308977E-5</c:v>
                </c:pt>
                <c:pt idx="349">
                  <c:v>4.4292821251600235E-5</c:v>
                </c:pt>
                <c:pt idx="350">
                  <c:v>4.2667396618513981E-5</c:v>
                </c:pt>
                <c:pt idx="351">
                  <c:v>4.1101620595816217E-5</c:v>
                </c:pt>
                <c:pt idx="352">
                  <c:v>3.9593304243676177E-5</c:v>
                </c:pt>
                <c:pt idx="353">
                  <c:v>3.8140338950330264E-5</c:v>
                </c:pt>
                <c:pt idx="354">
                  <c:v>3.6740693484263094E-5</c:v>
                </c:pt>
                <c:pt idx="355">
                  <c:v>3.5392411154565366E-5</c:v>
                </c:pt>
                <c:pt idx="356">
                  <c:v>3.4093607075498744E-5</c:v>
                </c:pt>
                <c:pt idx="357">
                  <c:v>3.2842465531443745E-5</c:v>
                </c:pt>
                <c:pt idx="358">
                  <c:v>3.1637237438546732E-5</c:v>
                </c:pt>
                <c:pt idx="359">
                  <c:v>3.047623789951749E-5</c:v>
                </c:pt>
                <c:pt idx="360">
                  <c:v>2.935784384815905E-5</c:v>
                </c:pt>
                <c:pt idx="361">
                  <c:v>2.8280491780336699E-5</c:v>
                </c:pt>
                <c:pt idx="362">
                  <c:v>2.7242675568214252E-5</c:v>
                </c:pt>
                <c:pt idx="363">
                  <c:v>2.6242944354701802E-5</c:v>
                </c:pt>
                <c:pt idx="364">
                  <c:v>2.5279900525171461E-5</c:v>
                </c:pt>
                <c:pt idx="365">
                  <c:v>2.4352197753605534E-5</c:v>
                </c:pt>
                <c:pt idx="366">
                  <c:v>2.3458539120445696E-5</c:v>
                </c:pt>
                <c:pt idx="367">
                  <c:v>2.2597675299511908E-5</c:v>
                </c:pt>
                <c:pt idx="368">
                  <c:v>2.1768402811456424E-5</c:v>
                </c:pt>
                <c:pt idx="369">
                  <c:v>2.0969562341311234E-5</c:v>
                </c:pt>
                <c:pt idx="370">
                  <c:v>2.0200037117776876E-5</c:v>
                </c:pt>
                <c:pt idx="371">
                  <c:v>1.9458751351986896E-5</c:v>
                </c:pt>
                <c:pt idx="372">
                  <c:v>1.8744668733565358E-5</c:v>
                </c:pt>
                <c:pt idx="373">
                  <c:v>1.8056790981874889E-5</c:v>
                </c:pt>
                <c:pt idx="374">
                  <c:v>1.7394156450429939E-5</c:v>
                </c:pt>
                <c:pt idx="375">
                  <c:v>1.6755838782524253E-5</c:v>
                </c:pt>
                <c:pt idx="376">
                  <c:v>1.6140945616193087E-5</c:v>
                </c:pt>
                <c:pt idx="377">
                  <c:v>1.5548617336699763E-5</c:v>
                </c:pt>
                <c:pt idx="378">
                  <c:v>1.4978025874802524E-5</c:v>
                </c:pt>
                <c:pt idx="379">
                  <c:v>1.4428373549121699E-5</c:v>
                </c:pt>
                <c:pt idx="380">
                  <c:v>1.3898891950988793E-5</c:v>
                </c:pt>
                <c:pt idx="381">
                  <c:v>1.3388840870218562E-5</c:v>
                </c:pt>
                <c:pt idx="382">
                  <c:v>1.2897507260302283E-5</c:v>
                </c:pt>
                <c:pt idx="383">
                  <c:v>1.2424204241575594E-5</c:v>
                </c:pt>
                <c:pt idx="384">
                  <c:v>1.1968270140967314E-5</c:v>
                </c:pt>
                <c:pt idx="385">
                  <c:v>1.1529067566986863E-5</c:v>
                </c:pt>
                <c:pt idx="386">
                  <c:v>1.1105982518657068E-5</c:v>
                </c:pt>
                <c:pt idx="387">
                  <c:v>1.0698423527146717E-5</c:v>
                </c:pt>
                <c:pt idx="388">
                  <c:v>1.03058208289028E-5</c:v>
                </c:pt>
                <c:pt idx="389">
                  <c:v>9.9276255691265513E-6</c:v>
                </c:pt>
                <c:pt idx="390">
                  <c:v>9.5633090344797043E-6</c:v>
                </c:pt>
                <c:pt idx="391">
                  <c:v>9.2123619139483401E-6</c:v>
                </c:pt>
                <c:pt idx="392">
                  <c:v>8.8742935868309699E-6</c:v>
                </c:pt>
                <c:pt idx="393">
                  <c:v>8.5486314368555193E-6</c:v>
                </c:pt>
                <c:pt idx="394">
                  <c:v>8.234920191466327E-6</c:v>
                </c:pt>
                <c:pt idx="395">
                  <c:v>7.9327212853574703E-6</c:v>
                </c:pt>
                <c:pt idx="396">
                  <c:v>7.6416122473627002E-6</c:v>
                </c:pt>
                <c:pt idx="397">
                  <c:v>7.3611861098448013E-6</c:v>
                </c:pt>
                <c:pt idx="398">
                  <c:v>7.0910508397587542E-6</c:v>
                </c:pt>
                <c:pt idx="399">
                  <c:v>6.8308287905932944E-6</c:v>
                </c:pt>
                <c:pt idx="400">
                  <c:v>6.5801561744247334E-6</c:v>
                </c:pt>
                <c:pt idx="401">
                  <c:v>6.3386825533449267E-6</c:v>
                </c:pt>
                <c:pt idx="402">
                  <c:v>6.1060703495524516E-6</c:v>
                </c:pt>
                <c:pt idx="403">
                  <c:v>5.8819943734220871E-6</c:v>
                </c:pt>
                <c:pt idx="404">
                  <c:v>5.6661413688928362E-6</c:v>
                </c:pt>
                <c:pt idx="405">
                  <c:v>5.4582095755389707E-6</c:v>
                </c:pt>
                <c:pt idx="406">
                  <c:v>5.2579083067118519E-6</c:v>
                </c:pt>
                <c:pt idx="407">
                  <c:v>5.0649575431627926E-6</c:v>
                </c:pt>
                <c:pt idx="408">
                  <c:v>4.8790875415788369E-6</c:v>
                </c:pt>
                <c:pt idx="409">
                  <c:v>4.7000384574842004E-6</c:v>
                </c:pt>
                <c:pt idx="410">
                  <c:v>4.5275599819801934E-6</c:v>
                </c:pt>
                <c:pt idx="411">
                  <c:v>4.3614109918157817E-6</c:v>
                </c:pt>
                <c:pt idx="412">
                  <c:v>4.2013592122996065E-6</c:v>
                </c:pt>
                <c:pt idx="413">
                  <c:v>4.0471808925821892E-6</c:v>
                </c:pt>
                <c:pt idx="414">
                  <c:v>3.898660492854402E-6</c:v>
                </c:pt>
                <c:pt idx="415">
                  <c:v>3.7555903830248825E-6</c:v>
                </c:pt>
                <c:pt idx="416">
                  <c:v>3.6177705524551614E-6</c:v>
                </c:pt>
                <c:pt idx="417">
                  <c:v>3.4850083303467152E-6</c:v>
                </c:pt>
                <c:pt idx="418">
                  <c:v>3.3571181163890372E-6</c:v>
                </c:pt>
                <c:pt idx="419">
                  <c:v>3.2339211212921916E-6</c:v>
                </c:pt>
                <c:pt idx="420">
                  <c:v>3.115245116841102E-6</c:v>
                </c:pt>
                <c:pt idx="421">
                  <c:v>3.0009241951221622E-6</c:v>
                </c:pt>
                <c:pt idx="422">
                  <c:v>2.8907985365855688E-6</c:v>
                </c:pt>
                <c:pt idx="423">
                  <c:v>2.7847141866191258E-6</c:v>
                </c:pt>
                <c:pt idx="424">
                  <c:v>2.6825228403211763E-6</c:v>
                </c:pt>
                <c:pt idx="425">
                  <c:v>2.5840816351717753E-6</c:v>
                </c:pt>
                <c:pt idx="426">
                  <c:v>2.4892529513122605E-6</c:v>
                </c:pt>
                <c:pt idx="427">
                  <c:v>2.3979042191540123E-6</c:v>
                </c:pt>
                <c:pt idx="428">
                  <c:v>2.3099077340474427E-6</c:v>
                </c:pt>
                <c:pt idx="429">
                  <c:v>2.2251404777521236E-6</c:v>
                </c:pt>
                <c:pt idx="430">
                  <c:v>2.1434839464584679E-6</c:v>
                </c:pt>
                <c:pt idx="431">
                  <c:v>2.0648239851205423E-6</c:v>
                </c:pt>
                <c:pt idx="432">
                  <c:v>1.9890506278684124E-6</c:v>
                </c:pt>
                <c:pt idx="433">
                  <c:v>1.9160579442769108E-6</c:v>
                </c:pt>
                <c:pt idx="434">
                  <c:v>1.8457438912759234E-6</c:v>
                </c:pt>
                <c:pt idx="435">
                  <c:v>1.7780101704951553E-6</c:v>
                </c:pt>
                <c:pt idx="436">
                  <c:v>1.7127620908439568E-6</c:v>
                </c:pt>
                <c:pt idx="437">
                  <c:v>1.6499084361340868E-6</c:v>
                </c:pt>
                <c:pt idx="438">
                  <c:v>1.5893613375603589E-6</c:v>
                </c:pt>
                <c:pt idx="439">
                  <c:v>1.5310361508608962E-6</c:v>
                </c:pt>
                <c:pt idx="440">
                  <c:v>1.4748513379852669E-6</c:v>
                </c:pt>
                <c:pt idx="441">
                  <c:v>1.4207283531050736E-6</c:v>
                </c:pt>
                <c:pt idx="442">
                  <c:v>1.3685915328076395E-6</c:v>
                </c:pt>
                <c:pt idx="443">
                  <c:v>1.3183679903192858E-6</c:v>
                </c:pt>
                <c:pt idx="444">
                  <c:v>1.2699875136103212E-6</c:v>
                </c:pt>
                <c:pt idx="445">
                  <c:v>1.2233824672393002E-6</c:v>
                </c:pt>
                <c:pt idx="446">
                  <c:v>1.1784876977993259E-6</c:v>
                </c:pt>
                <c:pt idx="447">
                  <c:v>1.135240442834213E-6</c:v>
                </c:pt>
                <c:pt idx="448">
                  <c:v>1.0935802430971776E-6</c:v>
                </c:pt>
                <c:pt idx="449">
                  <c:v>1.0534488580293913E-6</c:v>
                </c:pt>
                <c:pt idx="450">
                  <c:v>1.0147901843402393E-6</c:v>
                </c:pt>
                <c:pt idx="451">
                  <c:v>9.7755017757545997E-7</c:v>
                </c:pt>
                <c:pt idx="452">
                  <c:v>9.4167677656351625E-7</c:v>
                </c:pt>
                <c:pt idx="453">
                  <c:v>9.0711983063457983E-7</c:v>
                </c:pt>
                <c:pt idx="454">
                  <c:v>8.7383102951037516E-7</c:v>
                </c:pt>
                <c:pt idx="455">
                  <c:v>8.4176383576687518E-7</c:v>
                </c:pt>
                <c:pt idx="456">
                  <c:v>8.1087341977543015E-7</c:v>
                </c:pt>
                <c:pt idx="457">
                  <c:v>7.8111659703137769E-7</c:v>
                </c:pt>
                <c:pt idx="458">
                  <c:v>7.5245176778251968E-7</c:v>
                </c:pt>
                <c:pt idx="459">
                  <c:v>7.2483885887306943E-7</c:v>
                </c:pt>
                <c:pt idx="460">
                  <c:v>6.9823926772176405E-7</c:v>
                </c:pt>
                <c:pt idx="461">
                  <c:v>6.7261580835582773E-7</c:v>
                </c:pt>
                <c:pt idx="462">
                  <c:v>6.4793265942533862E-7</c:v>
                </c:pt>
                <c:pt idx="463">
                  <c:v>6.2415531412532614E-7</c:v>
                </c:pt>
                <c:pt idx="464">
                  <c:v>6.0125053195558941E-7</c:v>
                </c:pt>
                <c:pt idx="465">
                  <c:v>5.7918629225079717E-7</c:v>
                </c:pt>
                <c:pt idx="466">
                  <c:v>5.5793174941590552E-7</c:v>
                </c:pt>
                <c:pt idx="467">
                  <c:v>5.374571898043127E-7</c:v>
                </c:pt>
                <c:pt idx="468">
                  <c:v>5.1773399017846633E-7</c:v>
                </c:pt>
                <c:pt idx="469">
                  <c:v>4.9873457769485294E-7</c:v>
                </c:pt>
                <c:pt idx="470">
                  <c:v>4.8043239135742711E-7</c:v>
                </c:pt>
                <c:pt idx="471">
                  <c:v>4.6280184488559492E-7</c:v>
                </c:pt>
                <c:pt idx="472">
                  <c:v>4.4581829094483915E-7</c:v>
                </c:pt>
                <c:pt idx="473">
                  <c:v>4.294579866899827E-7</c:v>
                </c:pt>
                <c:pt idx="474">
                  <c:v>4.1369806057291912E-7</c:v>
                </c:pt>
                <c:pt idx="475">
                  <c:v>3.9851648036840829E-7</c:v>
                </c:pt>
                <c:pt idx="476">
                  <c:v>3.8389202237323729E-7</c:v>
                </c:pt>
                <c:pt idx="477">
                  <c:v>3.6980424173568731E-7</c:v>
                </c:pt>
                <c:pt idx="478">
                  <c:v>3.562334438738272E-7</c:v>
                </c:pt>
                <c:pt idx="479">
                  <c:v>3.4316065694267753E-7</c:v>
                </c:pt>
                <c:pt idx="480">
                  <c:v>3.3056760531175357E-7</c:v>
                </c:pt>
                <c:pt idx="481">
                  <c:v>3.1843668401590942E-7</c:v>
                </c:pt>
                <c:pt idx="482">
                  <c:v>3.0675093414376597E-7</c:v>
                </c:pt>
                <c:pt idx="483">
                  <c:v>2.9549401912931581E-7</c:v>
                </c:pt>
                <c:pt idx="484">
                  <c:v>2.8465020191356107E-7</c:v>
                </c:pt>
                <c:pt idx="485">
                  <c:v>2.7420432294425609E-7</c:v>
                </c:pt>
                <c:pt idx="486">
                  <c:v>2.6414177898299897E-7</c:v>
                </c:pt>
                <c:pt idx="487">
                  <c:v>2.5444850269004484E-7</c:v>
                </c:pt>
                <c:pt idx="488">
                  <c:v>2.4511094295830007E-7</c:v>
                </c:pt>
                <c:pt idx="489">
                  <c:v>2.3611604596900463E-7</c:v>
                </c:pt>
                <c:pt idx="490">
                  <c:v>2.2745123694261911E-7</c:v>
                </c:pt>
                <c:pt idx="491">
                  <c:v>2.1910440255940372E-7</c:v>
                </c:pt>
                <c:pt idx="492">
                  <c:v>2.1106387402511369E-7</c:v>
                </c:pt>
                <c:pt idx="493">
                  <c:v>2.03318410758137E-7</c:v>
                </c:pt>
                <c:pt idx="494">
                  <c:v>1.9585718467526958E-7</c:v>
                </c:pt>
                <c:pt idx="495">
                  <c:v>1.8866976505415876E-7</c:v>
                </c:pt>
                <c:pt idx="496">
                  <c:v>1.8174610395125383E-7</c:v>
                </c:pt>
                <c:pt idx="497">
                  <c:v>1.7507652215487755E-7</c:v>
                </c:pt>
                <c:pt idx="498">
                  <c:v>1.6865169565378111E-7</c:v>
                </c:pt>
                <c:pt idx="499">
                  <c:v>1.6246264260226622E-7</c:v>
                </c:pt>
                <c:pt idx="500">
                  <c:v>1.5650071076365093E-7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8-4058-B0C1-86A82C6D5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假设2!$H$1</c:f>
              <c:strCache>
                <c:ptCount val="1"/>
                <c:pt idx="0">
                  <c:v>现金流折现：累计求和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99"/>
              <c:layout>
                <c:manualLayout>
                  <c:x val="-8.3333333333334356E-3"/>
                  <c:y val="-6.9444444444444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BF6E43-C43D-428D-B2FF-5051CFE0CC05}" type="VALUE">
                      <a:rPr lang="en-US" altLang="zh-CN" sz="1000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[值]</a:t>
                    </a:fld>
                    <a:endParaRPr lang="zh-CN" alt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66E-4524-AA50-6B065A439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假设2!$A$4:$A$504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假设2!$H$4:$H$504</c:f>
              <c:numCache>
                <c:formatCode>0.00_ ;[Red]\-0.00\ </c:formatCode>
                <c:ptCount val="501"/>
                <c:pt idx="0">
                  <c:v>7.9761467889908246</c:v>
                </c:pt>
                <c:pt idx="1">
                  <c:v>15.65959094352327</c:v>
                </c:pt>
                <c:pt idx="2">
                  <c:v>23.061073844678379</c:v>
                </c:pt>
                <c:pt idx="3">
                  <c:v>30.19094269441495</c:v>
                </c:pt>
                <c:pt idx="4">
                  <c:v>37.059164980858441</c:v>
                </c:pt>
                <c:pt idx="5">
                  <c:v>43.675342412753544</c:v>
                </c:pt>
                <c:pt idx="6">
                  <c:v>50.048724342560753</c:v>
                </c:pt>
                <c:pt idx="7">
                  <c:v>56.18822069696219</c:v>
                </c:pt>
                <c:pt idx="8">
                  <c:v>62.102414432853486</c:v>
                </c:pt>
                <c:pt idx="9">
                  <c:v>67.799573536235002</c:v>
                </c:pt>
                <c:pt idx="11">
                  <c:v>73.287662580776839</c:v>
                </c:pt>
                <c:pt idx="12">
                  <c:v>78.574353862216213</c:v>
                </c:pt>
                <c:pt idx="13">
                  <c:v>83.667038124153237</c:v>
                </c:pt>
                <c:pt idx="14">
                  <c:v>88.572834890239349</c:v>
                </c:pt>
                <c:pt idx="15">
                  <c:v>93.298602417203043</c:v>
                </c:pt>
                <c:pt idx="16">
                  <c:v>97.850947282626777</c:v>
                </c:pt>
                <c:pt idx="17">
                  <c:v>102.23623362087901</c:v>
                </c:pt>
                <c:pt idx="18">
                  <c:v>106.4605920201128</c:v>
                </c:pt>
                <c:pt idx="19">
                  <c:v>110.52992809276921</c:v>
                </c:pt>
                <c:pt idx="20">
                  <c:v>114.44993073156667</c:v>
                </c:pt>
                <c:pt idx="21">
                  <c:v>118.22608006251835</c:v>
                </c:pt>
                <c:pt idx="22">
                  <c:v>121.86365510609565</c:v>
                </c:pt>
                <c:pt idx="23">
                  <c:v>125.3677411572481</c:v>
                </c:pt>
                <c:pt idx="24">
                  <c:v>128.74323689459681</c:v>
                </c:pt>
                <c:pt idx="25">
                  <c:v>131.99486122874004</c:v>
                </c:pt>
                <c:pt idx="26">
                  <c:v>135.12715989924499</c:v>
                </c:pt>
                <c:pt idx="27">
                  <c:v>138.14451182954792</c:v>
                </c:pt>
                <c:pt idx="28">
                  <c:v>141.05113524864709</c:v>
                </c:pt>
                <c:pt idx="29">
                  <c:v>143.85109358814628</c:v>
                </c:pt>
                <c:pt idx="30">
                  <c:v>146.54830116289321</c:v>
                </c:pt>
                <c:pt idx="31">
                  <c:v>149.146528643154</c:v>
                </c:pt>
                <c:pt idx="32">
                  <c:v>151.64940832597404</c:v>
                </c:pt>
                <c:pt idx="33">
                  <c:v>154.06043921309424</c:v>
                </c:pt>
                <c:pt idx="34">
                  <c:v>156.38299190252198</c:v>
                </c:pt>
                <c:pt idx="35">
                  <c:v>158.62031330059457</c:v>
                </c:pt>
                <c:pt idx="36">
                  <c:v>160.77553116112321</c:v>
                </c:pt>
                <c:pt idx="37">
                  <c:v>162.85165845796271</c:v>
                </c:pt>
                <c:pt idx="38">
                  <c:v>164.85159759712005</c:v>
                </c:pt>
                <c:pt idx="39">
                  <c:v>166.77814447428995</c:v>
                </c:pt>
                <c:pt idx="40">
                  <c:v>168.63399238349032</c:v>
                </c:pt>
                <c:pt idx="41">
                  <c:v>170.42173578226132</c:v>
                </c:pt>
                <c:pt idx="42">
                  <c:v>172.14387391869209</c:v>
                </c:pt>
                <c:pt idx="43">
                  <c:v>173.80281432534559</c:v>
                </c:pt>
                <c:pt idx="44">
                  <c:v>175.40087618496594</c:v>
                </c:pt>
                <c:pt idx="45">
                  <c:v>176.9402935726736</c:v>
                </c:pt>
                <c:pt idx="46">
                  <c:v>178.423218579181</c:v>
                </c:pt>
                <c:pt idx="47">
                  <c:v>179.85172431939455</c:v>
                </c:pt>
                <c:pt idx="48">
                  <c:v>181.22780783060944</c:v>
                </c:pt>
                <c:pt idx="49">
                  <c:v>182.55339286434852</c:v>
                </c:pt>
                <c:pt idx="50">
                  <c:v>183.83033257574857</c:v>
                </c:pt>
                <c:pt idx="51">
                  <c:v>185.06041211425321</c:v>
                </c:pt>
                <c:pt idx="52">
                  <c:v>186.24535111923475</c:v>
                </c:pt>
                <c:pt idx="53">
                  <c:v>187.38680612403348</c:v>
                </c:pt>
                <c:pt idx="54">
                  <c:v>188.48637287177536</c:v>
                </c:pt>
                <c:pt idx="55">
                  <c:v>189.54558854620561</c:v>
                </c:pt>
                <c:pt idx="56">
                  <c:v>190.56593392065679</c:v>
                </c:pt>
                <c:pt idx="57">
                  <c:v>191.54883542815563</c:v>
                </c:pt>
                <c:pt idx="58">
                  <c:v>192.49566715556276</c:v>
                </c:pt>
                <c:pt idx="59">
                  <c:v>193.40775276453292</c:v>
                </c:pt>
                <c:pt idx="60">
                  <c:v>194.28636734198125</c:v>
                </c:pt>
                <c:pt idx="61">
                  <c:v>195.1327391826425</c:v>
                </c:pt>
                <c:pt idx="62">
                  <c:v>195.94805150621525</c:v>
                </c:pt>
                <c:pt idx="63">
                  <c:v>196.73344411149176</c:v>
                </c:pt>
                <c:pt idx="64">
                  <c:v>197.49001496978565</c:v>
                </c:pt>
                <c:pt idx="65">
                  <c:v>198.21882175988526</c:v>
                </c:pt>
                <c:pt idx="66">
                  <c:v>198.92088334667847</c:v>
                </c:pt>
                <c:pt idx="67">
                  <c:v>199.59718120551597</c:v>
                </c:pt>
                <c:pt idx="68">
                  <c:v>200.24866079430436</c:v>
                </c:pt>
                <c:pt idx="69">
                  <c:v>200.87623287524733</c:v>
                </c:pt>
                <c:pt idx="70">
                  <c:v>201.48077478808227</c:v>
                </c:pt>
                <c:pt idx="71">
                  <c:v>202.063131676593</c:v>
                </c:pt>
                <c:pt idx="72">
                  <c:v>202.62411767011253</c:v>
                </c:pt>
                <c:pt idx="73">
                  <c:v>203.16451702166802</c:v>
                </c:pt>
                <c:pt idx="74">
                  <c:v>203.6850852043591</c:v>
                </c:pt>
                <c:pt idx="75">
                  <c:v>204.18654996750189</c:v>
                </c:pt>
                <c:pt idx="76">
                  <c:v>204.66961235401558</c:v>
                </c:pt>
                <c:pt idx="77">
                  <c:v>205.13494768047372</c:v>
                </c:pt>
                <c:pt idx="78">
                  <c:v>205.58320648119027</c:v>
                </c:pt>
                <c:pt idx="79">
                  <c:v>206.01501541766035</c:v>
                </c:pt>
                <c:pt idx="80">
                  <c:v>206.43097815462693</c:v>
                </c:pt>
                <c:pt idx="81">
                  <c:v>206.83167620399843</c:v>
                </c:pt>
                <c:pt idx="82">
                  <c:v>207.21766973779665</c:v>
                </c:pt>
                <c:pt idx="83">
                  <c:v>207.58949837127201</c:v>
                </c:pt>
                <c:pt idx="84">
                  <c:v>207.94768191728039</c:v>
                </c:pt>
                <c:pt idx="85">
                  <c:v>208.29272111297652</c:v>
                </c:pt>
                <c:pt idx="86">
                  <c:v>208.62509831983976</c:v>
                </c:pt>
                <c:pt idx="87">
                  <c:v>208.94527819801078</c:v>
                </c:pt>
                <c:pt idx="88">
                  <c:v>209.25370835588194</c:v>
                </c:pt>
                <c:pt idx="89">
                  <c:v>209.55081997584958</c:v>
                </c:pt>
                <c:pt idx="90">
                  <c:v>209.8370284171028</c:v>
                </c:pt>
                <c:pt idx="91">
                  <c:v>210.11273379629168</c:v>
                </c:pt>
                <c:pt idx="92">
                  <c:v>210.37832154688647</c:v>
                </c:pt>
                <c:pt idx="93">
                  <c:v>210.63416295800991</c:v>
                </c:pt>
                <c:pt idx="94">
                  <c:v>210.88061569349577</c:v>
                </c:pt>
                <c:pt idx="95">
                  <c:v>211.11802429189959</c:v>
                </c:pt>
                <c:pt idx="96">
                  <c:v>211.34672064816016</c:v>
                </c:pt>
                <c:pt idx="97">
                  <c:v>211.56702447758548</c:v>
                </c:pt>
                <c:pt idx="98">
                  <c:v>211.77924376281169</c:v>
                </c:pt>
                <c:pt idx="99">
                  <c:v>211.98367518435987</c:v>
                </c:pt>
                <c:pt idx="100">
                  <c:v>212.18060453539252</c:v>
                </c:pt>
                <c:pt idx="101">
                  <c:v>212.37030712124968</c:v>
                </c:pt>
                <c:pt idx="102">
                  <c:v>212.55304814432307</c:v>
                </c:pt>
                <c:pt idx="103">
                  <c:v>212.72908307480662</c:v>
                </c:pt>
                <c:pt idx="104">
                  <c:v>212.89865800784125</c:v>
                </c:pt>
                <c:pt idx="105">
                  <c:v>213.06201000755348</c:v>
                </c:pt>
                <c:pt idx="106">
                  <c:v>213.21936743846894</c:v>
                </c:pt>
                <c:pt idx="107">
                  <c:v>213.37095028476364</c:v>
                </c:pt>
                <c:pt idx="108">
                  <c:v>213.51697045779983</c:v>
                </c:pt>
                <c:pt idx="109">
                  <c:v>213.65763209237599</c:v>
                </c:pt>
                <c:pt idx="110">
                  <c:v>213.7931318321053</c:v>
                </c:pt>
                <c:pt idx="111">
                  <c:v>213.92365910432162</c:v>
                </c:pt>
                <c:pt idx="112">
                  <c:v>214.04939638489697</c:v>
                </c:pt>
                <c:pt idx="113">
                  <c:v>214.17051945334111</c:v>
                </c:pt>
                <c:pt idx="114">
                  <c:v>214.2871976385396</c:v>
                </c:pt>
                <c:pt idx="115">
                  <c:v>214.39959405547393</c:v>
                </c:pt>
                <c:pt idx="116">
                  <c:v>214.5078658332547</c:v>
                </c:pt>
                <c:pt idx="117">
                  <c:v>214.61216433478663</c:v>
                </c:pt>
                <c:pt idx="118">
                  <c:v>214.71263536837245</c:v>
                </c:pt>
                <c:pt idx="119">
                  <c:v>214.80941939155144</c:v>
                </c:pt>
                <c:pt idx="120">
                  <c:v>214.90265170745781</c:v>
                </c:pt>
                <c:pt idx="121">
                  <c:v>214.99246265397312</c:v>
                </c:pt>
                <c:pt idx="122">
                  <c:v>215.07897778593741</c:v>
                </c:pt>
                <c:pt idx="123">
                  <c:v>215.16231805067366</c:v>
                </c:pt>
                <c:pt idx="124">
                  <c:v>215.24259995707095</c:v>
                </c:pt>
                <c:pt idx="125">
                  <c:v>215.31993573846285</c:v>
                </c:pt>
                <c:pt idx="126">
                  <c:v>215.39443350952843</c:v>
                </c:pt>
                <c:pt idx="127">
                  <c:v>215.46619741743564</c:v>
                </c:pt>
                <c:pt idx="128">
                  <c:v>215.53532778743801</c:v>
                </c:pt>
                <c:pt idx="129">
                  <c:v>215.60192126312836</c:v>
                </c:pt>
                <c:pt idx="130">
                  <c:v>215.66607094154566</c:v>
                </c:pt>
                <c:pt idx="131">
                  <c:v>215.72786650332378</c:v>
                </c:pt>
                <c:pt idx="132">
                  <c:v>215.78739433806419</c:v>
                </c:pt>
                <c:pt idx="133">
                  <c:v>215.84473766510771</c:v>
                </c:pt>
                <c:pt idx="134">
                  <c:v>215.89997664987439</c:v>
                </c:pt>
                <c:pt idx="135">
                  <c:v>215.95318851593404</c:v>
                </c:pt>
                <c:pt idx="136">
                  <c:v>216.00444765296399</c:v>
                </c:pt>
                <c:pt idx="137">
                  <c:v>216.05382572074512</c:v>
                </c:pt>
                <c:pt idx="138">
                  <c:v>216.10139174934164</c:v>
                </c:pt>
                <c:pt idx="139">
                  <c:v>216.14721223560434</c:v>
                </c:pt>
                <c:pt idx="140">
                  <c:v>216.19135123613262</c:v>
                </c:pt>
                <c:pt idx="141">
                  <c:v>216.233870456825</c:v>
                </c:pt>
                <c:pt idx="142">
                  <c:v>216.27482933914334</c:v>
                </c:pt>
                <c:pt idx="143">
                  <c:v>216.31428514321146</c:v>
                </c:pt>
                <c:pt idx="144">
                  <c:v>216.35229302786425</c:v>
                </c:pt>
                <c:pt idx="145">
                  <c:v>216.38890612775913</c:v>
                </c:pt>
                <c:pt idx="146">
                  <c:v>216.42417562765786</c:v>
                </c:pt>
                <c:pt idx="147">
                  <c:v>216.45815083398233</c:v>
                </c:pt>
                <c:pt idx="148">
                  <c:v>216.49087924374444</c:v>
                </c:pt>
                <c:pt idx="149">
                  <c:v>216.52240661094649</c:v>
                </c:pt>
                <c:pt idx="150">
                  <c:v>216.55277701054479</c:v>
                </c:pt>
                <c:pt idx="151">
                  <c:v>216.58203290006608</c:v>
                </c:pt>
                <c:pt idx="152">
                  <c:v>216.61021517896273</c:v>
                </c:pt>
                <c:pt idx="153">
                  <c:v>216.6373632457898</c:v>
                </c:pt>
                <c:pt idx="154">
                  <c:v>216.66351505328376</c:v>
                </c:pt>
                <c:pt idx="155">
                  <c:v>216.68870716142013</c:v>
                </c:pt>
                <c:pt idx="156">
                  <c:v>216.71297478852398</c:v>
                </c:pt>
                <c:pt idx="157">
                  <c:v>216.73635186050475</c:v>
                </c:pt>
                <c:pt idx="158">
                  <c:v>216.7588710582844</c:v>
                </c:pt>
                <c:pt idx="159">
                  <c:v>216.78056386348496</c:v>
                </c:pt>
                <c:pt idx="160">
                  <c:v>216.80146060243965</c:v>
                </c:pt>
                <c:pt idx="161">
                  <c:v>216.82159048858864</c:v>
                </c:pt>
                <c:pt idx="162">
                  <c:v>216.84098166331933</c:v>
                </c:pt>
                <c:pt idx="163">
                  <c:v>216.85966123530761</c:v>
                </c:pt>
                <c:pt idx="164">
                  <c:v>216.87765531841558</c:v>
                </c:pt>
                <c:pt idx="165">
                  <c:v>216.8949890681985</c:v>
                </c:pt>
                <c:pt idx="166">
                  <c:v>216.91168671707194</c:v>
                </c:pt>
                <c:pt idx="167">
                  <c:v>216.92777160818858</c:v>
                </c:pt>
                <c:pt idx="168">
                  <c:v>216.94326622807156</c:v>
                </c:pt>
                <c:pt idx="169">
                  <c:v>216.9581922380506</c:v>
                </c:pt>
                <c:pt idx="170">
                  <c:v>216.97257050454417</c:v>
                </c:pt>
                <c:pt idx="171">
                  <c:v>216.98642112823063</c:v>
                </c:pt>
                <c:pt idx="172">
                  <c:v>216.99976347214877</c:v>
                </c:pt>
                <c:pt idx="173">
                  <c:v>217.01261618876717</c:v>
                </c:pt>
                <c:pt idx="174">
                  <c:v>217.02499724606011</c:v>
                </c:pt>
                <c:pt idx="175">
                  <c:v>217.03692395262672</c:v>
                </c:pt>
                <c:pt idx="176">
                  <c:v>217.04841298188813</c:v>
                </c:pt>
                <c:pt idx="177">
                  <c:v>217.05948039539683</c:v>
                </c:pt>
                <c:pt idx="178">
                  <c:v>217.07014166529052</c:v>
                </c:pt>
                <c:pt idx="179">
                  <c:v>217.08041169592207</c:v>
                </c:pt>
                <c:pt idx="180">
                  <c:v>217.09030484469557</c:v>
                </c:pt>
                <c:pt idx="181">
                  <c:v>217.09983494213793</c:v>
                </c:pt>
                <c:pt idx="182">
                  <c:v>217.10901531123378</c:v>
                </c:pt>
                <c:pt idx="183">
                  <c:v>217.11785878605087</c:v>
                </c:pt>
                <c:pt idx="184">
                  <c:v>217.12637772968205</c:v>
                </c:pt>
                <c:pt idx="185">
                  <c:v>217.13458405152858</c:v>
                </c:pt>
                <c:pt idx="186">
                  <c:v>217.14248922394955</c:v>
                </c:pt>
                <c:pt idx="187">
                  <c:v>217.15010429830002</c:v>
                </c:pt>
                <c:pt idx="188">
                  <c:v>217.15743992038077</c:v>
                </c:pt>
                <c:pt idx="189">
                  <c:v>217.16450634532092</c:v>
                </c:pt>
                <c:pt idx="190">
                  <c:v>217.17131345191464</c:v>
                </c:pt>
                <c:pt idx="191">
                  <c:v>217.17787075643153</c:v>
                </c:pt>
                <c:pt idx="192">
                  <c:v>217.18418742592027</c:v>
                </c:pt>
                <c:pt idx="193">
                  <c:v>217.19027229102412</c:v>
                </c:pt>
                <c:pt idx="194">
                  <c:v>217.19613385832599</c:v>
                </c:pt>
                <c:pt idx="195">
                  <c:v>217.20178032224064</c:v>
                </c:pt>
                <c:pt idx="196">
                  <c:v>217.20721957647035</c:v>
                </c:pt>
                <c:pt idx="197">
                  <c:v>217.21245922504025</c:v>
                </c:pt>
                <c:pt idx="198">
                  <c:v>217.21750659292869</c:v>
                </c:pt>
                <c:pt idx="199">
                  <c:v>217.22236873630746</c:v>
                </c:pt>
                <c:pt idx="200">
                  <c:v>217.22705245240627</c:v>
                </c:pt>
                <c:pt idx="201">
                  <c:v>217.23156428901521</c:v>
                </c:pt>
                <c:pt idx="202">
                  <c:v>217.23591055363852</c:v>
                </c:pt>
                <c:pt idx="203">
                  <c:v>217.24009732231232</c:v>
                </c:pt>
                <c:pt idx="204">
                  <c:v>217.24413044809901</c:v>
                </c:pt>
                <c:pt idx="205">
                  <c:v>217.24801556926968</c:v>
                </c:pt>
                <c:pt idx="206">
                  <c:v>217.2517581171864</c:v>
                </c:pt>
                <c:pt idx="207">
                  <c:v>217.25536332389515</c:v>
                </c:pt>
                <c:pt idx="208">
                  <c:v>217.25883622944028</c:v>
                </c:pt>
                <c:pt idx="209">
                  <c:v>217.26218168891035</c:v>
                </c:pt>
                <c:pt idx="210">
                  <c:v>217.26540437922557</c:v>
                </c:pt>
                <c:pt idx="211">
                  <c:v>217.26850880567602</c:v>
                </c:pt>
                <c:pt idx="212">
                  <c:v>217.27149930822003</c:v>
                </c:pt>
                <c:pt idx="213">
                  <c:v>217.27438006755139</c:v>
                </c:pt>
                <c:pt idx="214">
                  <c:v>217.27715511094399</c:v>
                </c:pt>
                <c:pt idx="215">
                  <c:v>217.27982831788182</c:v>
                </c:pt>
                <c:pt idx="216">
                  <c:v>217.2824034254825</c:v>
                </c:pt>
                <c:pt idx="217">
                  <c:v>217.28488403372168</c:v>
                </c:pt>
                <c:pt idx="218">
                  <c:v>217.28727361046583</c:v>
                </c:pt>
                <c:pt idx="219">
                  <c:v>217.28957549632031</c:v>
                </c:pt>
                <c:pt idx="220">
                  <c:v>217.29179290929937</c:v>
                </c:pt>
                <c:pt idx="221">
                  <c:v>217.29392894932508</c:v>
                </c:pt>
                <c:pt idx="222">
                  <c:v>217.29598660256084</c:v>
                </c:pt>
                <c:pt idx="223">
                  <c:v>217.29796874558613</c:v>
                </c:pt>
                <c:pt idx="224">
                  <c:v>217.29987814941782</c:v>
                </c:pt>
                <c:pt idx="225">
                  <c:v>217.30171748338415</c:v>
                </c:pt>
                <c:pt idx="226">
                  <c:v>217.30348931885629</c:v>
                </c:pt>
                <c:pt idx="227">
                  <c:v>217.30519613284321</c:v>
                </c:pt>
                <c:pt idx="228">
                  <c:v>217.30684031145447</c:v>
                </c:pt>
                <c:pt idx="229">
                  <c:v>217.30842415323596</c:v>
                </c:pt>
                <c:pt idx="230">
                  <c:v>217.30994987238327</c:v>
                </c:pt>
                <c:pt idx="231">
                  <c:v>217.31141960183709</c:v>
                </c:pt>
                <c:pt idx="232">
                  <c:v>217.31283539626509</c:v>
                </c:pt>
                <c:pt idx="233">
                  <c:v>217.31419923493425</c:v>
                </c:pt>
                <c:pt idx="234">
                  <c:v>217.31551302447795</c:v>
                </c:pt>
                <c:pt idx="235">
                  <c:v>217.31677860156134</c:v>
                </c:pt>
                <c:pt idx="236">
                  <c:v>217.31799773544898</c:v>
                </c:pt>
                <c:pt idx="237">
                  <c:v>217.31917213047836</c:v>
                </c:pt>
                <c:pt idx="238">
                  <c:v>217.32030342844246</c:v>
                </c:pt>
                <c:pt idx="239">
                  <c:v>217.32139321088493</c:v>
                </c:pt>
                <c:pt idx="240">
                  <c:v>217.32244300131117</c:v>
                </c:pt>
                <c:pt idx="241">
                  <c:v>217.32345426731811</c:v>
                </c:pt>
                <c:pt idx="242">
                  <c:v>217.32442842264589</c:v>
                </c:pt>
                <c:pt idx="243">
                  <c:v>217.32536682915429</c:v>
                </c:pt>
                <c:pt idx="244">
                  <c:v>217.3262707987266</c:v>
                </c:pt>
                <c:pt idx="245">
                  <c:v>217.3271415951036</c:v>
                </c:pt>
                <c:pt idx="246">
                  <c:v>217.32798043565026</c:v>
                </c:pt>
                <c:pt idx="247">
                  <c:v>217.3287884930576</c:v>
                </c:pt>
                <c:pt idx="248">
                  <c:v>217.3295668969821</c:v>
                </c:pt>
                <c:pt idx="249">
                  <c:v>217.33031673562496</c:v>
                </c:pt>
                <c:pt idx="250">
                  <c:v>217.33103905725341</c:v>
                </c:pt>
                <c:pt idx="251">
                  <c:v>217.33173487166613</c:v>
                </c:pt>
                <c:pt idx="252">
                  <c:v>217.33240515160497</c:v>
                </c:pt>
                <c:pt idx="253">
                  <c:v>217.33305083411489</c:v>
                </c:pt>
                <c:pt idx="254">
                  <c:v>217.33367282185378</c:v>
                </c:pt>
                <c:pt idx="255">
                  <c:v>217.33427198435456</c:v>
                </c:pt>
                <c:pt idx="256">
                  <c:v>217.33484915924063</c:v>
                </c:pt>
                <c:pt idx="257">
                  <c:v>217.33540515339695</c:v>
                </c:pt>
                <c:pt idx="258">
                  <c:v>217.33594074409797</c:v>
                </c:pt>
                <c:pt idx="259">
                  <c:v>217.33645668009439</c:v>
                </c:pt>
                <c:pt idx="260">
                  <c:v>217.33695368265973</c:v>
                </c:pt>
                <c:pt idx="261">
                  <c:v>217.33743244659883</c:v>
                </c:pt>
                <c:pt idx="262">
                  <c:v>217.33789364121904</c:v>
                </c:pt>
                <c:pt idx="263">
                  <c:v>217.33833791126605</c:v>
                </c:pt>
                <c:pt idx="264">
                  <c:v>217.3387658778251</c:v>
                </c:pt>
                <c:pt idx="265">
                  <c:v>217.3391781391893</c:v>
                </c:pt>
                <c:pt idx="266">
                  <c:v>217.33957527169611</c:v>
                </c:pt>
                <c:pt idx="267">
                  <c:v>217.33995783053294</c:v>
                </c:pt>
                <c:pt idx="268">
                  <c:v>217.34032635051338</c:v>
                </c:pt>
                <c:pt idx="269">
                  <c:v>217.34068134682482</c:v>
                </c:pt>
                <c:pt idx="270">
                  <c:v>217.34102331574869</c:v>
                </c:pt>
                <c:pt idx="271">
                  <c:v>217.34135273535423</c:v>
                </c:pt>
                <c:pt idx="272">
                  <c:v>217.34167006616693</c:v>
                </c:pt>
                <c:pt idx="273">
                  <c:v>217.34197575181219</c:v>
                </c:pt>
                <c:pt idx="274">
                  <c:v>217.34227021963559</c:v>
                </c:pt>
                <c:pt idx="275">
                  <c:v>217.34255388130035</c:v>
                </c:pt>
                <c:pt idx="276">
                  <c:v>217.34282713336273</c:v>
                </c:pt>
                <c:pt idx="277">
                  <c:v>217.3430903578265</c:v>
                </c:pt>
                <c:pt idx="278">
                  <c:v>217.34334392267689</c:v>
                </c:pt>
                <c:pt idx="279">
                  <c:v>217.34358818239517</c:v>
                </c:pt>
                <c:pt idx="280">
                  <c:v>217.34382347845406</c:v>
                </c:pt>
                <c:pt idx="281">
                  <c:v>217.3440501397952</c:v>
                </c:pt>
                <c:pt idx="282">
                  <c:v>217.34426848328894</c:v>
                </c:pt>
                <c:pt idx="283">
                  <c:v>217.34447881417742</c:v>
                </c:pt>
                <c:pt idx="284">
                  <c:v>217.34468142650118</c:v>
                </c:pt>
                <c:pt idx="285">
                  <c:v>217.3448766035103</c:v>
                </c:pt>
                <c:pt idx="286">
                  <c:v>217.34506461806038</c:v>
                </c:pt>
                <c:pt idx="287">
                  <c:v>217.34524573299393</c:v>
                </c:pt>
                <c:pt idx="288">
                  <c:v>217.34542020150792</c:v>
                </c:pt>
                <c:pt idx="289">
                  <c:v>217.34558826750762</c:v>
                </c:pt>
                <c:pt idx="290">
                  <c:v>217.34575016594772</c:v>
                </c:pt>
                <c:pt idx="291">
                  <c:v>217.34590612316066</c:v>
                </c:pt>
                <c:pt idx="292">
                  <c:v>217.34605635717313</c:v>
                </c:pt>
                <c:pt idx="293">
                  <c:v>217.34620107801081</c:v>
                </c:pt>
                <c:pt idx="294">
                  <c:v>217.34634048799205</c:v>
                </c:pt>
                <c:pt idx="295">
                  <c:v>217.34647478201069</c:v>
                </c:pt>
                <c:pt idx="296">
                  <c:v>217.34660414780845</c:v>
                </c:pt>
                <c:pt idx="297">
                  <c:v>217.3467287662375</c:v>
                </c:pt>
                <c:pt idx="298">
                  <c:v>217.34684881151318</c:v>
                </c:pt>
                <c:pt idx="299">
                  <c:v>217.34696445145767</c:v>
                </c:pt>
                <c:pt idx="300">
                  <c:v>217.34707584773446</c:v>
                </c:pt>
                <c:pt idx="301">
                  <c:v>217.34718315607446</c:v>
                </c:pt>
                <c:pt idx="302">
                  <c:v>217.34728652649375</c:v>
                </c:pt>
                <c:pt idx="303">
                  <c:v>217.34738610350314</c:v>
                </c:pt>
                <c:pt idx="304">
                  <c:v>217.34748202631036</c:v>
                </c:pt>
                <c:pt idx="305">
                  <c:v>217.34757442901457</c:v>
                </c:pt>
                <c:pt idx="306">
                  <c:v>217.34766344079387</c:v>
                </c:pt>
                <c:pt idx="307">
                  <c:v>217.34774918608582</c:v>
                </c:pt>
                <c:pt idx="308">
                  <c:v>217.34783178476158</c:v>
                </c:pt>
                <c:pt idx="309">
                  <c:v>217.34791135229327</c:v>
                </c:pt>
                <c:pt idx="310">
                  <c:v>217.34798799991552</c:v>
                </c:pt>
                <c:pt idx="311">
                  <c:v>217.34806183478099</c:v>
                </c:pt>
                <c:pt idx="312">
                  <c:v>217.34813296011012</c:v>
                </c:pt>
                <c:pt idx="313">
                  <c:v>217.34820147533543</c:v>
                </c:pt>
                <c:pt idx="314">
                  <c:v>217.34826747624055</c:v>
                </c:pt>
                <c:pt idx="315">
                  <c:v>217.34833105509409</c:v>
                </c:pt>
                <c:pt idx="316">
                  <c:v>217.3483923007787</c:v>
                </c:pt>
                <c:pt idx="317">
                  <c:v>217.34845129891525</c:v>
                </c:pt>
                <c:pt idx="318">
                  <c:v>217.34850813198258</c:v>
                </c:pt>
                <c:pt idx="319">
                  <c:v>217.34856287943276</c:v>
                </c:pt>
                <c:pt idx="320">
                  <c:v>217.34861561780221</c:v>
                </c:pt>
                <c:pt idx="321">
                  <c:v>217.34866642081863</c:v>
                </c:pt>
                <c:pt idx="322">
                  <c:v>217.34871535950418</c:v>
                </c:pt>
                <c:pt idx="323">
                  <c:v>217.34876250227467</c:v>
                </c:pt>
                <c:pt idx="324">
                  <c:v>217.34880791503522</c:v>
                </c:pt>
                <c:pt idx="325">
                  <c:v>217.34885166127245</c:v>
                </c:pt>
                <c:pt idx="326">
                  <c:v>217.34889380214318</c:v>
                </c:pt>
                <c:pt idx="327">
                  <c:v>217.34893439655994</c:v>
                </c:pt>
                <c:pt idx="328">
                  <c:v>217.34897350127332</c:v>
                </c:pt>
                <c:pt idx="329">
                  <c:v>217.34901117095137</c:v>
                </c:pt>
                <c:pt idx="330">
                  <c:v>217.34904745825591</c:v>
                </c:pt>
                <c:pt idx="331">
                  <c:v>217.34908241391625</c:v>
                </c:pt>
                <c:pt idx="332">
                  <c:v>217.34911608680005</c:v>
                </c:pt>
                <c:pt idx="333">
                  <c:v>217.34914852398171</c:v>
                </c:pt>
                <c:pt idx="334">
                  <c:v>217.34917977080806</c:v>
                </c:pt>
                <c:pt idx="335">
                  <c:v>217.34920987096189</c:v>
                </c:pt>
                <c:pt idx="336">
                  <c:v>217.34923886652291</c:v>
                </c:pt>
                <c:pt idx="337">
                  <c:v>217.34926679802666</c:v>
                </c:pt>
                <c:pt idx="338">
                  <c:v>217.3492937045211</c:v>
                </c:pt>
                <c:pt idx="339">
                  <c:v>217.34931962362126</c:v>
                </c:pt>
                <c:pt idx="340">
                  <c:v>217.34934459156176</c:v>
                </c:pt>
                <c:pt idx="341">
                  <c:v>217.34936864324757</c:v>
                </c:pt>
                <c:pt idx="342">
                  <c:v>217.34939181230271</c:v>
                </c:pt>
                <c:pt idx="343">
                  <c:v>217.3494141311173</c:v>
                </c:pt>
                <c:pt idx="344">
                  <c:v>217.3494356308928</c:v>
                </c:pt>
                <c:pt idx="345">
                  <c:v>217.34945634168571</c:v>
                </c:pt>
                <c:pt idx="346">
                  <c:v>217.34947629244954</c:v>
                </c:pt>
                <c:pt idx="347">
                  <c:v>217.34949551107525</c:v>
                </c:pt>
                <c:pt idx="348">
                  <c:v>217.34951402443028</c:v>
                </c:pt>
                <c:pt idx="349">
                  <c:v>217.34953185839615</c:v>
                </c:pt>
                <c:pt idx="350">
                  <c:v>217.34954903790455</c:v>
                </c:pt>
                <c:pt idx="351">
                  <c:v>217.34956558697226</c:v>
                </c:pt>
                <c:pt idx="352">
                  <c:v>217.34958152873475</c:v>
                </c:pt>
                <c:pt idx="353">
                  <c:v>217.34959688547843</c:v>
                </c:pt>
                <c:pt idx="354">
                  <c:v>217.34961167867189</c:v>
                </c:pt>
                <c:pt idx="355">
                  <c:v>217.34962592899586</c:v>
                </c:pt>
                <c:pt idx="356">
                  <c:v>217.34963965637215</c:v>
                </c:pt>
                <c:pt idx="357">
                  <c:v>217.34965287999151</c:v>
                </c:pt>
                <c:pt idx="358">
                  <c:v>217.34966561834045</c:v>
                </c:pt>
                <c:pt idx="359">
                  <c:v>217.34967788922705</c:v>
                </c:pt>
                <c:pt idx="360">
                  <c:v>217.34968970980589</c:v>
                </c:pt>
                <c:pt idx="361">
                  <c:v>217.34970109660199</c:v>
                </c:pt>
                <c:pt idx="362">
                  <c:v>217.34971206553402</c:v>
                </c:pt>
                <c:pt idx="363">
                  <c:v>217.34972263193643</c:v>
                </c:pt>
                <c:pt idx="364">
                  <c:v>217.34973281058097</c:v>
                </c:pt>
                <c:pt idx="365">
                  <c:v>217.34974261569727</c:v>
                </c:pt>
                <c:pt idx="366">
                  <c:v>217.34975206099278</c:v>
                </c:pt>
                <c:pt idx="367">
                  <c:v>217.34976115967194</c:v>
                </c:pt>
                <c:pt idx="368">
                  <c:v>217.34976992445462</c:v>
                </c:pt>
                <c:pt idx="369">
                  <c:v>217.3497783675939</c:v>
                </c:pt>
                <c:pt idx="370">
                  <c:v>217.3497865008932</c:v>
                </c:pt>
                <c:pt idx="371">
                  <c:v>217.34979433572281</c:v>
                </c:pt>
                <c:pt idx="372">
                  <c:v>217.34980188303572</c:v>
                </c:pt>
                <c:pt idx="373">
                  <c:v>217.34980915338303</c:v>
                </c:pt>
                <c:pt idx="374">
                  <c:v>217.3498161569286</c:v>
                </c:pt>
                <c:pt idx="375">
                  <c:v>217.34982290346332</c:v>
                </c:pt>
                <c:pt idx="376">
                  <c:v>217.34982940241881</c:v>
                </c:pt>
                <c:pt idx="377">
                  <c:v>217.34983566288051</c:v>
                </c:pt>
                <c:pt idx="378">
                  <c:v>217.3498416936005</c:v>
                </c:pt>
                <c:pt idx="379">
                  <c:v>217.34984750300964</c:v>
                </c:pt>
                <c:pt idx="380">
                  <c:v>217.34985309922948</c:v>
                </c:pt>
                <c:pt idx="381">
                  <c:v>217.34985849008345</c:v>
                </c:pt>
                <c:pt idx="382">
                  <c:v>217.34986368310791</c:v>
                </c:pt>
                <c:pt idx="383">
                  <c:v>217.34986868556265</c:v>
                </c:pt>
                <c:pt idx="384">
                  <c:v>217.34987350444109</c:v>
                </c:pt>
                <c:pt idx="385">
                  <c:v>217.34987814647994</c:v>
                </c:pt>
                <c:pt idx="386">
                  <c:v>217.34988261816875</c:v>
                </c:pt>
                <c:pt idx="387">
                  <c:v>217.34988692575888</c:v>
                </c:pt>
                <c:pt idx="388">
                  <c:v>217.34989107527232</c:v>
                </c:pt>
                <c:pt idx="389">
                  <c:v>217.34989507251004</c:v>
                </c:pt>
                <c:pt idx="390">
                  <c:v>217.34989892306012</c:v>
                </c:pt>
                <c:pt idx="391">
                  <c:v>217.34990263230563</c:v>
                </c:pt>
                <c:pt idx="392">
                  <c:v>217.34990620543203</c:v>
                </c:pt>
                <c:pt idx="393">
                  <c:v>217.34990964743452</c:v>
                </c:pt>
                <c:pt idx="394">
                  <c:v>217.34991296312498</c:v>
                </c:pt>
                <c:pt idx="395">
                  <c:v>217.34991615713875</c:v>
                </c:pt>
                <c:pt idx="396">
                  <c:v>217.34991923394099</c:v>
                </c:pt>
                <c:pt idx="397">
                  <c:v>217.34992219783308</c:v>
                </c:pt>
                <c:pt idx="398">
                  <c:v>217.34992505295847</c:v>
                </c:pt>
                <c:pt idx="399">
                  <c:v>217.34992780330862</c:v>
                </c:pt>
                <c:pt idx="400">
                  <c:v>217.34993045272847</c:v>
                </c:pt>
                <c:pt idx="401">
                  <c:v>217.34993300492192</c:v>
                </c:pt>
                <c:pt idx="402">
                  <c:v>217.34993546345689</c:v>
                </c:pt>
                <c:pt idx="403">
                  <c:v>217.3499378317704</c:v>
                </c:pt>
                <c:pt idx="404">
                  <c:v>217.34994011317332</c:v>
                </c:pt>
                <c:pt idx="405">
                  <c:v>217.34994231085503</c:v>
                </c:pt>
                <c:pt idx="406">
                  <c:v>217.34994442788786</c:v>
                </c:pt>
                <c:pt idx="407">
                  <c:v>217.34994646723143</c:v>
                </c:pt>
                <c:pt idx="408">
                  <c:v>217.34994843173669</c:v>
                </c:pt>
                <c:pt idx="409">
                  <c:v>217.34995032415003</c:v>
                </c:pt>
                <c:pt idx="410">
                  <c:v>217.34995214711699</c:v>
                </c:pt>
                <c:pt idx="411">
                  <c:v>217.3499539031861</c:v>
                </c:pt>
                <c:pt idx="412">
                  <c:v>217.34995559481231</c:v>
                </c:pt>
                <c:pt idx="413">
                  <c:v>217.34995722436048</c:v>
                </c:pt>
                <c:pt idx="414">
                  <c:v>217.34995879410872</c:v>
                </c:pt>
                <c:pt idx="415">
                  <c:v>217.34996030625152</c:v>
                </c:pt>
                <c:pt idx="416">
                  <c:v>217.34996176290284</c:v>
                </c:pt>
                <c:pt idx="417">
                  <c:v>217.34996316609906</c:v>
                </c:pt>
                <c:pt idx="418">
                  <c:v>217.34996451780185</c:v>
                </c:pt>
                <c:pt idx="419">
                  <c:v>217.34996581990086</c:v>
                </c:pt>
                <c:pt idx="420">
                  <c:v>217.34996707421644</c:v>
                </c:pt>
                <c:pt idx="421">
                  <c:v>217.34996828250206</c:v>
                </c:pt>
                <c:pt idx="422">
                  <c:v>217.34996944644695</c:v>
                </c:pt>
                <c:pt idx="423">
                  <c:v>217.34997056767824</c:v>
                </c:pt>
                <c:pt idx="424">
                  <c:v>217.34997164776345</c:v>
                </c:pt>
                <c:pt idx="425">
                  <c:v>217.34997268821249</c:v>
                </c:pt>
                <c:pt idx="426">
                  <c:v>217.34997369047991</c:v>
                </c:pt>
                <c:pt idx="427">
                  <c:v>217.34997465596689</c:v>
                </c:pt>
                <c:pt idx="428">
                  <c:v>217.34997558602316</c:v>
                </c:pt>
                <c:pt idx="429">
                  <c:v>217.34997648194891</c:v>
                </c:pt>
                <c:pt idx="430">
                  <c:v>217.34997734499666</c:v>
                </c:pt>
                <c:pt idx="431">
                  <c:v>217.34997817637293</c:v>
                </c:pt>
                <c:pt idx="432">
                  <c:v>217.34997897723997</c:v>
                </c:pt>
                <c:pt idx="433">
                  <c:v>217.3499797487174</c:v>
                </c:pt>
                <c:pt idx="434">
                  <c:v>217.34998049188374</c:v>
                </c:pt>
                <c:pt idx="435">
                  <c:v>217.34998120777792</c:v>
                </c:pt>
                <c:pt idx="436">
                  <c:v>217.34998189740074</c:v>
                </c:pt>
                <c:pt idx="437">
                  <c:v>217.3499825617163</c:v>
                </c:pt>
                <c:pt idx="438">
                  <c:v>217.34998320165332</c:v>
                </c:pt>
                <c:pt idx="439">
                  <c:v>217.34998381810641</c:v>
                </c:pt>
                <c:pt idx="440">
                  <c:v>217.34998441193736</c:v>
                </c:pt>
                <c:pt idx="441">
                  <c:v>217.34998498397636</c:v>
                </c:pt>
                <c:pt idx="442">
                  <c:v>217.34998553502308</c:v>
                </c:pt>
                <c:pt idx="443">
                  <c:v>217.34998606584793</c:v>
                </c:pt>
                <c:pt idx="444">
                  <c:v>217.34998657719296</c:v>
                </c:pt>
                <c:pt idx="445">
                  <c:v>217.34998706977305</c:v>
                </c:pt>
                <c:pt idx="446">
                  <c:v>217.34998754427679</c:v>
                </c:pt>
                <c:pt idx="447">
                  <c:v>217.34998800136754</c:v>
                </c:pt>
                <c:pt idx="448">
                  <c:v>217.34998844168433</c:v>
                </c:pt>
                <c:pt idx="449">
                  <c:v>217.3499888658427</c:v>
                </c:pt>
                <c:pt idx="450">
                  <c:v>217.34998927443564</c:v>
                </c:pt>
                <c:pt idx="451">
                  <c:v>217.34998966803434</c:v>
                </c:pt>
                <c:pt idx="452">
                  <c:v>217.34999004718904</c:v>
                </c:pt>
                <c:pt idx="453">
                  <c:v>217.3499904124298</c:v>
                </c:pt>
                <c:pt idx="454">
                  <c:v>217.34999076426723</c:v>
                </c:pt>
                <c:pt idx="455">
                  <c:v>217.34999110319322</c:v>
                </c:pt>
                <c:pt idx="456">
                  <c:v>217.34999142968155</c:v>
                </c:pt>
                <c:pt idx="457">
                  <c:v>217.34999174418866</c:v>
                </c:pt>
                <c:pt idx="458">
                  <c:v>217.34999204715422</c:v>
                </c:pt>
                <c:pt idx="459">
                  <c:v>217.34999233900177</c:v>
                </c:pt>
                <c:pt idx="460">
                  <c:v>217.34999262013932</c:v>
                </c:pt>
                <c:pt idx="461">
                  <c:v>217.3499928909599</c:v>
                </c:pt>
                <c:pt idx="462">
                  <c:v>217.34999315184211</c:v>
                </c:pt>
                <c:pt idx="463">
                  <c:v>217.34999340315065</c:v>
                </c:pt>
                <c:pt idx="464">
                  <c:v>217.34999364523685</c:v>
                </c:pt>
                <c:pt idx="465">
                  <c:v>217.34999387843916</c:v>
                </c:pt>
                <c:pt idx="466">
                  <c:v>217.34999410308359</c:v>
                </c:pt>
                <c:pt idx="467">
                  <c:v>217.34999431948418</c:v>
                </c:pt>
                <c:pt idx="468">
                  <c:v>217.34999452794347</c:v>
                </c:pt>
                <c:pt idx="469">
                  <c:v>217.34999472875288</c:v>
                </c:pt>
                <c:pt idx="470">
                  <c:v>217.34999492219313</c:v>
                </c:pt>
                <c:pt idx="471">
                  <c:v>217.34999510853467</c:v>
                </c:pt>
                <c:pt idx="472">
                  <c:v>217.34999528803797</c:v>
                </c:pt>
                <c:pt idx="473">
                  <c:v>217.34999546095401</c:v>
                </c:pt>
                <c:pt idx="474">
                  <c:v>217.34999562752449</c:v>
                </c:pt>
                <c:pt idx="475">
                  <c:v>217.34999578798229</c:v>
                </c:pt>
                <c:pt idx="476">
                  <c:v>217.34999594255174</c:v>
                </c:pt>
                <c:pt idx="477">
                  <c:v>217.34999609144893</c:v>
                </c:pt>
                <c:pt idx="478">
                  <c:v>217.34999623488198</c:v>
                </c:pt>
                <c:pt idx="479">
                  <c:v>217.34999637305145</c:v>
                </c:pt>
                <c:pt idx="480">
                  <c:v>217.34999650615049</c:v>
                </c:pt>
                <c:pt idx="481">
                  <c:v>217.34999663436514</c:v>
                </c:pt>
                <c:pt idx="482">
                  <c:v>217.34999675787466</c:v>
                </c:pt>
                <c:pt idx="483">
                  <c:v>217.34999687685175</c:v>
                </c:pt>
                <c:pt idx="484">
                  <c:v>217.34999699146269</c:v>
                </c:pt>
                <c:pt idx="485">
                  <c:v>217.34999710186773</c:v>
                </c:pt>
                <c:pt idx="486">
                  <c:v>217.3499972082212</c:v>
                </c:pt>
                <c:pt idx="487">
                  <c:v>217.3499973106718</c:v>
                </c:pt>
                <c:pt idx="488">
                  <c:v>217.34999740936274</c:v>
                </c:pt>
                <c:pt idx="489">
                  <c:v>217.349997504432</c:v>
                </c:pt>
                <c:pt idx="490">
                  <c:v>217.34999759601246</c:v>
                </c:pt>
                <c:pt idx="491">
                  <c:v>217.34999768423219</c:v>
                </c:pt>
                <c:pt idx="492">
                  <c:v>217.3499977692145</c:v>
                </c:pt>
                <c:pt idx="493">
                  <c:v>217.34999785107817</c:v>
                </c:pt>
                <c:pt idx="494">
                  <c:v>217.34999792993767</c:v>
                </c:pt>
                <c:pt idx="495">
                  <c:v>217.34999800590325</c:v>
                </c:pt>
                <c:pt idx="496">
                  <c:v>217.3499980790811</c:v>
                </c:pt>
                <c:pt idx="497">
                  <c:v>217.34999814957354</c:v>
                </c:pt>
                <c:pt idx="498">
                  <c:v>217.34999821747908</c:v>
                </c:pt>
                <c:pt idx="499">
                  <c:v>217.3499982828927</c:v>
                </c:pt>
                <c:pt idx="500">
                  <c:v>217.34999834590582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E-4524-AA50-6B065A439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假设2!$F$1</c:f>
              <c:strCache>
                <c:ptCount val="1"/>
                <c:pt idx="0">
                  <c:v>现金流折现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假设2!$A$4:$A$504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假设2!$F$4:$F$504</c:f>
              <c:numCache>
                <c:formatCode>0.00_ ;[Red]\-0.00\ </c:formatCode>
                <c:ptCount val="501"/>
                <c:pt idx="0">
                  <c:v>7.9761467889908246</c:v>
                </c:pt>
                <c:pt idx="1">
                  <c:v>7.6834441545324461</c:v>
                </c:pt>
                <c:pt idx="2">
                  <c:v>7.4014829011551084</c:v>
                </c:pt>
                <c:pt idx="3">
                  <c:v>7.1298688497365728</c:v>
                </c:pt>
                <c:pt idx="4">
                  <c:v>6.868222286443487</c:v>
                </c:pt>
                <c:pt idx="5">
                  <c:v>6.6161774318951023</c:v>
                </c:pt>
                <c:pt idx="6">
                  <c:v>6.3733819298072074</c:v>
                </c:pt>
                <c:pt idx="7">
                  <c:v>6.1394963544014374</c:v>
                </c:pt>
                <c:pt idx="8">
                  <c:v>5.9141937358912928</c:v>
                </c:pt>
                <c:pt idx="9">
                  <c:v>5.6971591033815203</c:v>
                </c:pt>
                <c:pt idx="11">
                  <c:v>5.488089044541832</c:v>
                </c:pt>
                <c:pt idx="12">
                  <c:v>5.2866912814393796</c:v>
                </c:pt>
                <c:pt idx="13">
                  <c:v>5.0926842619370172</c:v>
                </c:pt>
                <c:pt idx="14">
                  <c:v>4.9057967660861168</c:v>
                </c:pt>
                <c:pt idx="15">
                  <c:v>4.7257675269636898</c:v>
                </c:pt>
                <c:pt idx="16">
                  <c:v>4.5523448654237377</c:v>
                </c:pt>
                <c:pt idx="17">
                  <c:v>4.3852863382522251</c:v>
                </c:pt>
                <c:pt idx="18">
                  <c:v>4.224358399233795</c:v>
                </c:pt>
                <c:pt idx="19">
                  <c:v>4.0693360726564078</c:v>
                </c:pt>
                <c:pt idx="20">
                  <c:v>3.9200026387974565</c:v>
                </c:pt>
                <c:pt idx="21">
                  <c:v>3.7761493309516783</c:v>
                </c:pt>
                <c:pt idx="22">
                  <c:v>3.6375750435773053</c:v>
                </c:pt>
                <c:pt idx="23">
                  <c:v>3.5040860511524499</c:v>
                </c:pt>
                <c:pt idx="24">
                  <c:v>3.3754957373486905</c:v>
                </c:pt>
                <c:pt idx="25">
                  <c:v>3.2516243341432336</c:v>
                </c:pt>
                <c:pt idx="26">
                  <c:v>3.1322986705049503</c:v>
                </c:pt>
                <c:pt idx="27">
                  <c:v>3.0173519303029335</c:v>
                </c:pt>
                <c:pt idx="28">
                  <c:v>2.9066234190991564</c:v>
                </c:pt>
                <c:pt idx="29">
                  <c:v>2.7999583394991872</c:v>
                </c:pt>
                <c:pt idx="30">
                  <c:v>2.6972075747469231</c:v>
                </c:pt>
                <c:pt idx="31">
                  <c:v>2.5982274802607979</c:v>
                </c:pt>
                <c:pt idx="32">
                  <c:v>2.5028796828200344</c:v>
                </c:pt>
                <c:pt idx="33">
                  <c:v>2.4110308871202166</c:v>
                </c:pt>
                <c:pt idx="34">
                  <c:v>2.3225526894277313</c:v>
                </c:pt>
                <c:pt idx="35">
                  <c:v>2.2373213980725852</c:v>
                </c:pt>
                <c:pt idx="36">
                  <c:v>2.1552178605286372</c:v>
                </c:pt>
                <c:pt idx="37">
                  <c:v>2.076127296839513</c:v>
                </c:pt>
                <c:pt idx="38">
                  <c:v>1.9999391391573287</c:v>
                </c:pt>
                <c:pt idx="39">
                  <c:v>1.9265468771699037</c:v>
                </c:pt>
                <c:pt idx="40">
                  <c:v>1.8558479092003659</c:v>
                </c:pt>
                <c:pt idx="41">
                  <c:v>1.7877433987709948</c:v>
                </c:pt>
                <c:pt idx="42">
                  <c:v>1.7221381364307744</c:v>
                </c:pt>
                <c:pt idx="43">
                  <c:v>1.6589404066534981</c:v>
                </c:pt>
                <c:pt idx="44">
                  <c:v>1.5980618596203422</c:v>
                </c:pt>
                <c:pt idx="45">
                  <c:v>1.5394173877076693</c:v>
                </c:pt>
                <c:pt idx="46">
                  <c:v>1.4829250065073876</c:v>
                </c:pt>
                <c:pt idx="47">
                  <c:v>1.4285057402135386</c:v>
                </c:pt>
                <c:pt idx="48">
                  <c:v>1.3760835112148766</c:v>
                </c:pt>
                <c:pt idx="49">
                  <c:v>1.3255850337391013</c:v>
                </c:pt>
                <c:pt idx="50">
                  <c:v>1.2769397114000518</c:v>
                </c:pt>
                <c:pt idx="51">
                  <c:v>1.230079538504637</c:v>
                </c:pt>
                <c:pt idx="52">
                  <c:v>1.1849390049815309</c:v>
                </c:pt>
                <c:pt idx="53">
                  <c:v>1.1414550047987224</c:v>
                </c:pt>
                <c:pt idx="54">
                  <c:v>1.0995667477418887</c:v>
                </c:pt>
                <c:pt idx="55">
                  <c:v>1.0592156744302597</c:v>
                </c:pt>
                <c:pt idx="56">
                  <c:v>1.0203453744511677</c:v>
                </c:pt>
                <c:pt idx="57">
                  <c:v>0.98290150749883132</c:v>
                </c:pt>
                <c:pt idx="58">
                  <c:v>0.94683172740713117</c:v>
                </c:pt>
                <c:pt idx="59">
                  <c:v>0.9120856089701721</c:v>
                </c:pt>
                <c:pt idx="60">
                  <c:v>0.87861457744833105</c:v>
                </c:pt>
                <c:pt idx="61">
                  <c:v>0.84637184066123616</c:v>
                </c:pt>
                <c:pt idx="62">
                  <c:v>0.81531232357275041</c:v>
                </c:pt>
                <c:pt idx="63">
                  <c:v>0.78539260527650268</c:v>
                </c:pt>
                <c:pt idx="64">
                  <c:v>0.75657085829387871</c:v>
                </c:pt>
                <c:pt idx="65">
                  <c:v>0.72880679009960792</c:v>
                </c:pt>
                <c:pt idx="66">
                  <c:v>0.7020615867932003</c:v>
                </c:pt>
                <c:pt idx="67">
                  <c:v>0.6762978588374865</c:v>
                </c:pt>
                <c:pt idx="68">
                  <c:v>0.6514795887884044</c:v>
                </c:pt>
                <c:pt idx="69">
                  <c:v>0.62757208094295835</c:v>
                </c:pt>
                <c:pt idx="70">
                  <c:v>0.60454191283495984</c:v>
                </c:pt>
                <c:pt idx="71">
                  <c:v>0.58235688851074119</c:v>
                </c:pt>
                <c:pt idx="72">
                  <c:v>0.56098599351952128</c:v>
                </c:pt>
                <c:pt idx="73">
                  <c:v>0.54039935155550212</c:v>
                </c:pt>
                <c:pt idx="74">
                  <c:v>0.52056818269108007</c:v>
                </c:pt>
                <c:pt idx="75">
                  <c:v>0.50146476314278354</c:v>
                </c:pt>
                <c:pt idx="76">
                  <c:v>0.4830623865136906</c:v>
                </c:pt>
                <c:pt idx="77">
                  <c:v>0.4653353264581423</c:v>
                </c:pt>
                <c:pt idx="78">
                  <c:v>0.44825880071655905</c:v>
                </c:pt>
                <c:pt idx="79">
                  <c:v>0.43180893647007978</c:v>
                </c:pt>
                <c:pt idx="80">
                  <c:v>0.41596273696659064</c:v>
                </c:pt>
                <c:pt idx="81">
                  <c:v>0.4006980493714864</c:v>
                </c:pt>
                <c:pt idx="82">
                  <c:v>0.38599353379822082</c:v>
                </c:pt>
                <c:pt idx="83">
                  <c:v>0.37182863347535028</c:v>
                </c:pt>
                <c:pt idx="84">
                  <c:v>0.35818354600836499</c:v>
                </c:pt>
                <c:pt idx="85">
                  <c:v>0.3450391956961314</c:v>
                </c:pt>
                <c:pt idx="86">
                  <c:v>0.33237720686324579</c:v>
                </c:pt>
                <c:pt idx="87">
                  <c:v>0.32017987817101662</c:v>
                </c:pt>
                <c:pt idx="88">
                  <c:v>0.30843015787116285</c:v>
                </c:pt>
                <c:pt idx="89">
                  <c:v>0.29711161996763391</c:v>
                </c:pt>
                <c:pt idx="90">
                  <c:v>0.28620844125322531</c:v>
                </c:pt>
                <c:pt idx="91">
                  <c:v>0.27570537918888677</c:v>
                </c:pt>
                <c:pt idx="92">
                  <c:v>0.26558775059479917</c:v>
                </c:pt>
                <c:pt idx="93">
                  <c:v>0.2558414111234304</c:v>
                </c:pt>
                <c:pt idx="94">
                  <c:v>0.24645273548587329</c:v>
                </c:pt>
                <c:pt idx="95">
                  <c:v>0.23740859840382286</c:v>
                </c:pt>
                <c:pt idx="96">
                  <c:v>0.22869635626056331</c:v>
                </c:pt>
                <c:pt idx="97">
                  <c:v>0.22030382942531329</c:v>
                </c:pt>
                <c:pt idx="98">
                  <c:v>0.21221928522621922</c:v>
                </c:pt>
                <c:pt idx="99">
                  <c:v>0.20443142154819285</c:v>
                </c:pt>
                <c:pt idx="100">
                  <c:v>0.19692935103266282</c:v>
                </c:pt>
                <c:pt idx="101">
                  <c:v>0.18970258585715224</c:v>
                </c:pt>
                <c:pt idx="102">
                  <c:v>0.18274102307340356</c:v>
                </c:pt>
                <c:pt idx="103">
                  <c:v>0.17603493048355387</c:v>
                </c:pt>
                <c:pt idx="104">
                  <c:v>0.1695749330346161</c:v>
                </c:pt>
                <c:pt idx="105">
                  <c:v>0.16335199971224487</c:v>
                </c:pt>
                <c:pt idx="106">
                  <c:v>0.15735743091546522</c:v>
                </c:pt>
                <c:pt idx="107">
                  <c:v>0.15158284629471422</c:v>
                </c:pt>
                <c:pt idx="108">
                  <c:v>0.14602017303619258</c:v>
                </c:pt>
                <c:pt idx="109">
                  <c:v>0.14066163457614883</c:v>
                </c:pt>
                <c:pt idx="110">
                  <c:v>0.13549973972931767</c:v>
                </c:pt>
                <c:pt idx="111">
                  <c:v>0.13052727221631519</c:v>
                </c:pt>
                <c:pt idx="112">
                  <c:v>0.12573728057534947</c:v>
                </c:pt>
                <c:pt idx="113">
                  <c:v>0.121123068444144</c:v>
                </c:pt>
                <c:pt idx="114">
                  <c:v>0.11667818519848734</c:v>
                </c:pt>
                <c:pt idx="115">
                  <c:v>0.11239641693432265</c:v>
                </c:pt>
                <c:pt idx="116">
                  <c:v>0.10827177778076953</c:v>
                </c:pt>
                <c:pt idx="117">
                  <c:v>0.10429850153193396</c:v>
                </c:pt>
                <c:pt idx="118">
                  <c:v>0.10047103358580796</c:v>
                </c:pt>
                <c:pt idx="119">
                  <c:v>9.678402317898932E-2</c:v>
                </c:pt>
                <c:pt idx="120">
                  <c:v>9.3232315906365854E-2</c:v>
                </c:pt>
                <c:pt idx="121">
                  <c:v>8.981094651530655E-2</c:v>
                </c:pt>
                <c:pt idx="122">
                  <c:v>8.6515131964286104E-2</c:v>
                </c:pt>
                <c:pt idx="123">
                  <c:v>8.3340264736238914E-2</c:v>
                </c:pt>
                <c:pt idx="124">
                  <c:v>8.0281906397294364E-2</c:v>
                </c:pt>
                <c:pt idx="125">
                  <c:v>7.7335781391889069E-2</c:v>
                </c:pt>
                <c:pt idx="126">
                  <c:v>7.4497771065581211E-2</c:v>
                </c:pt>
                <c:pt idx="127">
                  <c:v>7.1763907907211266E-2</c:v>
                </c:pt>
                <c:pt idx="128">
                  <c:v>6.9130370002359484E-2</c:v>
                </c:pt>
                <c:pt idx="129">
                  <c:v>6.6593475690346293E-2</c:v>
                </c:pt>
                <c:pt idx="130">
                  <c:v>6.4149678417306052E-2</c:v>
                </c:pt>
                <c:pt idx="131">
                  <c:v>6.1795561778138858E-2</c:v>
                </c:pt>
                <c:pt idx="132">
                  <c:v>5.9527834740408986E-2</c:v>
                </c:pt>
                <c:pt idx="133">
                  <c:v>5.7343327043513241E-2</c:v>
                </c:pt>
                <c:pt idx="134">
                  <c:v>5.5238984766687066E-2</c:v>
                </c:pt>
                <c:pt idx="135">
                  <c:v>5.3211866059652675E-2</c:v>
                </c:pt>
                <c:pt idx="136">
                  <c:v>5.125913702994065E-2</c:v>
                </c:pt>
                <c:pt idx="137">
                  <c:v>4.9378067781135487E-2</c:v>
                </c:pt>
                <c:pt idx="138">
                  <c:v>4.756602859650666E-2</c:v>
                </c:pt>
                <c:pt idx="139">
                  <c:v>4.5820486262689898E-2</c:v>
                </c:pt>
                <c:pt idx="140">
                  <c:v>4.4139000528279258E-2</c:v>
                </c:pt>
                <c:pt idx="141">
                  <c:v>4.2519220692379102E-2</c:v>
                </c:pt>
                <c:pt idx="142">
                  <c:v>4.0958882318346844E-2</c:v>
                </c:pt>
                <c:pt idx="143">
                  <c:v>3.9455804068132282E-2</c:v>
                </c:pt>
                <c:pt idx="144">
                  <c:v>3.8007884652787975E-2</c:v>
                </c:pt>
                <c:pt idx="145">
                  <c:v>3.6613099894887501E-2</c:v>
                </c:pt>
                <c:pt idx="146">
                  <c:v>3.5269499898744838E-2</c:v>
                </c:pt>
                <c:pt idx="147">
                  <c:v>3.3975206324478972E-2</c:v>
                </c:pt>
                <c:pt idx="148">
                  <c:v>3.2728409762112769E-2</c:v>
                </c:pt>
                <c:pt idx="149">
                  <c:v>3.1527367202035236E-2</c:v>
                </c:pt>
                <c:pt idx="150">
                  <c:v>3.0370399598290819E-2</c:v>
                </c:pt>
                <c:pt idx="151">
                  <c:v>2.9255889521289321E-2</c:v>
                </c:pt>
                <c:pt idx="152">
                  <c:v>2.8182278896654849E-2</c:v>
                </c:pt>
                <c:pt idx="153">
                  <c:v>2.7148066827052834E-2</c:v>
                </c:pt>
                <c:pt idx="154">
                  <c:v>2.6151807493949977E-2</c:v>
                </c:pt>
                <c:pt idx="155">
                  <c:v>2.5192108136373827E-2</c:v>
                </c:pt>
                <c:pt idx="156">
                  <c:v>2.4267627103846345E-2</c:v>
                </c:pt>
                <c:pt idx="157">
                  <c:v>2.337707198076942E-2</c:v>
                </c:pt>
                <c:pt idx="158">
                  <c:v>2.2519197779640267E-2</c:v>
                </c:pt>
                <c:pt idx="159">
                  <c:v>2.1692805200570899E-2</c:v>
                </c:pt>
                <c:pt idx="160">
                  <c:v>2.0896738954678386E-2</c:v>
                </c:pt>
                <c:pt idx="161">
                  <c:v>2.0129886149002116E-2</c:v>
                </c:pt>
                <c:pt idx="162">
                  <c:v>1.939117473069011E-2</c:v>
                </c:pt>
                <c:pt idx="163">
                  <c:v>1.8679571988279464E-2</c:v>
                </c:pt>
                <c:pt idx="164">
                  <c:v>1.7994083107975629E-2</c:v>
                </c:pt>
                <c:pt idx="165">
                  <c:v>1.73337497829123E-2</c:v>
                </c:pt>
                <c:pt idx="166">
                  <c:v>1.6697648873447629E-2</c:v>
                </c:pt>
                <c:pt idx="167">
                  <c:v>1.6084891116623864E-2</c:v>
                </c:pt>
                <c:pt idx="168">
                  <c:v>1.5494619882986291E-2</c:v>
                </c:pt>
                <c:pt idx="169">
                  <c:v>1.4926009979023491E-2</c:v>
                </c:pt>
                <c:pt idx="170">
                  <c:v>1.4378266493554741E-2</c:v>
                </c:pt>
                <c:pt idx="171">
                  <c:v>1.3850623686451813E-2</c:v>
                </c:pt>
                <c:pt idx="172">
                  <c:v>1.3342343918141656E-2</c:v>
                </c:pt>
                <c:pt idx="173">
                  <c:v>1.2852716618393338E-2</c:v>
                </c:pt>
                <c:pt idx="174">
                  <c:v>1.238105729294771E-2</c:v>
                </c:pt>
                <c:pt idx="175">
                  <c:v>1.1926706566601004E-2</c:v>
                </c:pt>
                <c:pt idx="176">
                  <c:v>1.1489029261404635E-2</c:v>
                </c:pt>
                <c:pt idx="177">
                  <c:v>1.1067413508692538E-2</c:v>
                </c:pt>
                <c:pt idx="178">
                  <c:v>1.0661269893694647E-2</c:v>
                </c:pt>
                <c:pt idx="179">
                  <c:v>1.0270030631540715E-2</c:v>
                </c:pt>
                <c:pt idx="180">
                  <c:v>9.8931487735025234E-3</c:v>
                </c:pt>
                <c:pt idx="181">
                  <c:v>9.5300974423648144E-3</c:v>
                </c:pt>
                <c:pt idx="182">
                  <c:v>9.1803690958560131E-3</c:v>
                </c:pt>
                <c:pt idx="183">
                  <c:v>8.8434748171090042E-3</c:v>
                </c:pt>
                <c:pt idx="184">
                  <c:v>8.5189436311600506E-3</c:v>
                </c:pt>
                <c:pt idx="185">
                  <c:v>8.2063218465303241E-3</c:v>
                </c:pt>
                <c:pt idx="186">
                  <c:v>7.9051724209695771E-3</c:v>
                </c:pt>
                <c:pt idx="187">
                  <c:v>7.6150743504752811E-3</c:v>
                </c:pt>
                <c:pt idx="188">
                  <c:v>7.3356220807330686E-3</c:v>
                </c:pt>
                <c:pt idx="189">
                  <c:v>7.0664249401557076E-3</c:v>
                </c:pt>
                <c:pt idx="190">
                  <c:v>6.807106593727975E-3</c:v>
                </c:pt>
                <c:pt idx="191">
                  <c:v>6.5573045168939199E-3</c:v>
                </c:pt>
                <c:pt idx="192">
                  <c:v>6.3166694887510236E-3</c:v>
                </c:pt>
                <c:pt idx="193">
                  <c:v>6.0848651038427288E-3</c:v>
                </c:pt>
                <c:pt idx="194">
                  <c:v>5.8615673018668473E-3</c:v>
                </c:pt>
                <c:pt idx="195">
                  <c:v>5.6464639146423766E-3</c:v>
                </c:pt>
                <c:pt idx="196">
                  <c:v>5.4392542297013718E-3</c:v>
                </c:pt>
                <c:pt idx="197">
                  <c:v>5.2396485698958167E-3</c:v>
                </c:pt>
                <c:pt idx="198">
                  <c:v>5.0473678884317497E-3</c:v>
                </c:pt>
                <c:pt idx="199">
                  <c:v>4.8621433787645295E-3</c:v>
                </c:pt>
                <c:pt idx="200">
                  <c:v>4.6837160988098675E-3</c:v>
                </c:pt>
                <c:pt idx="201">
                  <c:v>4.5118366089452848E-3</c:v>
                </c:pt>
                <c:pt idx="202">
                  <c:v>4.3462646232959165E-3</c:v>
                </c:pt>
                <c:pt idx="203">
                  <c:v>4.1867686738171674E-3</c:v>
                </c:pt>
                <c:pt idx="204">
                  <c:v>4.0331257867046114E-3</c:v>
                </c:pt>
                <c:pt idx="205">
                  <c:v>3.8851211706787537E-3</c:v>
                </c:pt>
                <c:pt idx="206">
                  <c:v>3.7425479167088912E-3</c:v>
                </c:pt>
                <c:pt idx="207">
                  <c:v>3.6052067087562712E-3</c:v>
                </c:pt>
                <c:pt idx="208">
                  <c:v>3.4729055451321877E-3</c:v>
                </c:pt>
                <c:pt idx="209">
                  <c:v>3.3454594700814654E-3</c:v>
                </c:pt>
                <c:pt idx="210">
                  <c:v>3.2226903152160909E-3</c:v>
                </c:pt>
                <c:pt idx="211">
                  <c:v>3.1044264504375189E-3</c:v>
                </c:pt>
                <c:pt idx="212">
                  <c:v>2.9905025439994444E-3</c:v>
                </c:pt>
                <c:pt idx="213">
                  <c:v>2.8807593313756119E-3</c:v>
                </c:pt>
                <c:pt idx="214">
                  <c:v>2.7750433926095339E-3</c:v>
                </c:pt>
                <c:pt idx="215">
                  <c:v>2.6732069378348723E-3</c:v>
                </c:pt>
                <c:pt idx="216">
                  <c:v>2.5751076006666198E-3</c:v>
                </c:pt>
                <c:pt idx="217">
                  <c:v>2.4806082391742664E-3</c:v>
                </c:pt>
                <c:pt idx="218">
                  <c:v>2.3895767441586969E-3</c:v>
                </c:pt>
                <c:pt idx="219">
                  <c:v>2.3018858544647997E-3</c:v>
                </c:pt>
                <c:pt idx="220">
                  <c:v>2.2174129790715961E-3</c:v>
                </c:pt>
                <c:pt idx="221">
                  <c:v>2.1360400257111707E-3</c:v>
                </c:pt>
                <c:pt idx="222">
                  <c:v>2.0576532357768156E-3</c:v>
                </c:pt>
                <c:pt idx="223">
                  <c:v>1.9821430252895929E-3</c:v>
                </c:pt>
                <c:pt idx="224">
                  <c:v>1.909403831700984E-3</c:v>
                </c:pt>
                <c:pt idx="225">
                  <c:v>1.8393339663174614E-3</c:v>
                </c:pt>
                <c:pt idx="226">
                  <c:v>1.7718354721406738E-3</c:v>
                </c:pt>
                <c:pt idx="227">
                  <c:v>1.7068139869245024E-3</c:v>
                </c:pt>
                <c:pt idx="228">
                  <c:v>1.6441786112575483E-3</c:v>
                </c:pt>
                <c:pt idx="229">
                  <c:v>1.5838417814866292E-3</c:v>
                </c:pt>
                <c:pt idx="230">
                  <c:v>1.5257191473036335E-3</c:v>
                </c:pt>
                <c:pt idx="231">
                  <c:v>1.4697294538246011E-3</c:v>
                </c:pt>
                <c:pt idx="232">
                  <c:v>1.4157944279961753E-3</c:v>
                </c:pt>
                <c:pt idx="233">
                  <c:v>1.3638386691706274E-3</c:v>
                </c:pt>
                <c:pt idx="234">
                  <c:v>1.3137895436964757E-3</c:v>
                </c:pt>
                <c:pt idx="235">
                  <c:v>1.265577083377339E-3</c:v>
                </c:pt>
                <c:pt idx="236">
                  <c:v>1.2191338876570697E-3</c:v>
                </c:pt>
                <c:pt idx="237">
                  <c:v>1.1743950293944248E-3</c:v>
                </c:pt>
                <c:pt idx="238">
                  <c:v>1.1312979640955467E-3</c:v>
                </c:pt>
                <c:pt idx="239">
                  <c:v>1.0897824424773617E-3</c:v>
                </c:pt>
                <c:pt idx="240">
                  <c:v>1.0497904262396604E-3</c:v>
                </c:pt>
                <c:pt idx="241">
                  <c:v>1.0112660069281133E-3</c:v>
                </c:pt>
                <c:pt idx="242">
                  <c:v>9.7415532777478798E-4</c:v>
                </c:pt>
                <c:pt idx="243">
                  <c:v>9.384065084069059E-4</c:v>
                </c:pt>
                <c:pt idx="244">
                  <c:v>9.0396957231857894E-4</c:v>
                </c:pt>
                <c:pt idx="245">
                  <c:v>8.7079637700413555E-4</c:v>
                </c:pt>
                <c:pt idx="246">
                  <c:v>8.3884054665535985E-4</c:v>
                </c:pt>
                <c:pt idx="247">
                  <c:v>8.0805740732855765E-4</c:v>
                </c:pt>
                <c:pt idx="248">
                  <c:v>7.7840392449081246E-4</c:v>
                </c:pt>
                <c:pt idx="249">
                  <c:v>7.4983864285812216E-4</c:v>
                </c:pt>
                <c:pt idx="250">
                  <c:v>7.2232162844131033E-4</c:v>
                </c:pt>
                <c:pt idx="251">
                  <c:v>6.9581441271869332E-4</c:v>
                </c:pt>
                <c:pt idx="252">
                  <c:v>6.7027993885745692E-4</c:v>
                </c:pt>
                <c:pt idx="253">
                  <c:v>6.4568250990855935E-4</c:v>
                </c:pt>
                <c:pt idx="254">
                  <c:v>6.219877389027407E-4</c:v>
                </c:pt>
                <c:pt idx="255">
                  <c:v>5.9916250077786946E-4</c:v>
                </c:pt>
                <c:pt idx="256">
                  <c:v>5.7717488607042478E-4</c:v>
                </c:pt>
                <c:pt idx="257">
                  <c:v>5.5599415630637255E-4</c:v>
                </c:pt>
                <c:pt idx="258">
                  <c:v>5.3559070102907438E-4</c:v>
                </c:pt>
                <c:pt idx="259">
                  <c:v>5.159359964041542E-4</c:v>
                </c:pt>
                <c:pt idx="260">
                  <c:v>4.9700256534345138E-4</c:v>
                </c:pt>
                <c:pt idx="261">
                  <c:v>4.7876393909231552E-4</c:v>
                </c:pt>
                <c:pt idx="262">
                  <c:v>4.6119462022654249E-4</c:v>
                </c:pt>
                <c:pt idx="263">
                  <c:v>4.4427004700721981E-4</c:v>
                </c:pt>
                <c:pt idx="264">
                  <c:v>4.2796655904365208E-4</c:v>
                </c:pt>
                <c:pt idx="265">
                  <c:v>4.1226136421636212E-4</c:v>
                </c:pt>
                <c:pt idx="266">
                  <c:v>3.9713250681392678E-4</c:v>
                </c:pt>
                <c:pt idx="267">
                  <c:v>3.8255883683910384E-4</c:v>
                </c:pt>
                <c:pt idx="268">
                  <c:v>3.6851998044133851E-4</c:v>
                </c:pt>
                <c:pt idx="269">
                  <c:v>3.5499631143431692E-4</c:v>
                </c:pt>
                <c:pt idx="270">
                  <c:v>3.4196892385874569E-4</c:v>
                </c:pt>
                <c:pt idx="271">
                  <c:v>3.294196055520027E-4</c:v>
                </c:pt>
                <c:pt idx="272">
                  <c:v>3.1733081268770901E-4</c:v>
                </c:pt>
                <c:pt idx="273">
                  <c:v>3.0568564524962796E-4</c:v>
                </c:pt>
                <c:pt idx="274">
                  <c:v>2.944678234056049E-4</c:v>
                </c:pt>
                <c:pt idx="275">
                  <c:v>2.8366166474851849E-4</c:v>
                </c:pt>
                <c:pt idx="276">
                  <c:v>2.7325206237242605E-4</c:v>
                </c:pt>
                <c:pt idx="277">
                  <c:v>2.6322446375325444E-4</c:v>
                </c:pt>
                <c:pt idx="278">
                  <c:v>2.5356485040451115E-4</c:v>
                </c:pt>
                <c:pt idx="279">
                  <c:v>2.442597182795749E-4</c:v>
                </c:pt>
                <c:pt idx="280">
                  <c:v>2.3529605889316849E-4</c:v>
                </c:pt>
                <c:pt idx="281">
                  <c:v>2.2666134113562099E-4</c:v>
                </c:pt>
                <c:pt idx="282">
                  <c:v>2.183434937544973E-4</c:v>
                </c:pt>
                <c:pt idx="283">
                  <c:v>2.1033088847910287E-4</c:v>
                </c:pt>
                <c:pt idx="284">
                  <c:v>2.0261232376427338E-4</c:v>
                </c:pt>
                <c:pt idx="285">
                  <c:v>1.9517700913072205E-4</c:v>
                </c:pt>
                <c:pt idx="286">
                  <c:v>1.8801455008005336E-4</c:v>
                </c:pt>
                <c:pt idx="287">
                  <c:v>1.8111493356335413E-4</c:v>
                </c:pt>
                <c:pt idx="288">
                  <c:v>1.7446851398304755E-4</c:v>
                </c:pt>
                <c:pt idx="289">
                  <c:v>1.6806599970844031E-4</c:v>
                </c:pt>
                <c:pt idx="290">
                  <c:v>1.6189844008611225E-4</c:v>
                </c:pt>
                <c:pt idx="291">
                  <c:v>1.5595721292698886E-4</c:v>
                </c:pt>
                <c:pt idx="292">
                  <c:v>1.5023401245260396E-4</c:v>
                </c:pt>
                <c:pt idx="293">
                  <c:v>1.4472083768370106E-4</c:v>
                </c:pt>
                <c:pt idx="294">
                  <c:v>1.394099812549414E-4</c:v>
                </c:pt>
                <c:pt idx="295">
                  <c:v>1.3429401864008118E-4</c:v>
                </c:pt>
                <c:pt idx="296">
                  <c:v>1.2936579777255523E-4</c:v>
                </c:pt>
                <c:pt idx="297">
                  <c:v>1.2461842904695688E-4</c:v>
                </c:pt>
                <c:pt idx="298">
                  <c:v>1.2004527568743551E-4</c:v>
                </c:pt>
                <c:pt idx="299">
                  <c:v>1.1563994446954798E-4</c:v>
                </c:pt>
                <c:pt idx="300">
                  <c:v>1.1139627678259207E-4</c:v>
                </c:pt>
                <c:pt idx="301">
                  <c:v>1.0730834001992814E-4</c:v>
                </c:pt>
                <c:pt idx="302">
                  <c:v>1.0337041928525188E-4</c:v>
                </c:pt>
                <c:pt idx="303">
                  <c:v>9.9577009403224292E-5</c:v>
                </c:pt>
                <c:pt idx="304">
                  <c:v>9.5922807223289454E-5</c:v>
                </c:pt>
                <c:pt idx="305">
                  <c:v>9.2402704205921021E-5</c:v>
                </c:pt>
                <c:pt idx="306">
                  <c:v>8.9011779280933096E-5</c:v>
                </c:pt>
                <c:pt idx="307">
                  <c:v>8.5745291967871321E-5</c:v>
                </c:pt>
                <c:pt idx="308">
                  <c:v>8.2598675748866868E-5</c:v>
                </c:pt>
                <c:pt idx="309">
                  <c:v>7.9567531684688266E-5</c:v>
                </c:pt>
                <c:pt idx="310">
                  <c:v>7.6647622265066677E-5</c:v>
                </c:pt>
                <c:pt idx="311">
                  <c:v>7.3834865484697255E-5</c:v>
                </c:pt>
                <c:pt idx="312">
                  <c:v>7.112532913663496E-5</c:v>
                </c:pt>
                <c:pt idx="313">
                  <c:v>6.8515225315107084E-5</c:v>
                </c:pt>
                <c:pt idx="314">
                  <c:v>6.6000905120057278E-5</c:v>
                </c:pt>
                <c:pt idx="315">
                  <c:v>6.3578853556018475E-5</c:v>
                </c:pt>
                <c:pt idx="316">
                  <c:v>6.1245684618182932E-5</c:v>
                </c:pt>
                <c:pt idx="317">
                  <c:v>5.8998136558800075E-5</c:v>
                </c:pt>
                <c:pt idx="318">
                  <c:v>5.683306732728447E-5</c:v>
                </c:pt>
                <c:pt idx="319">
                  <c:v>5.4747450177659347E-5</c:v>
                </c:pt>
                <c:pt idx="320">
                  <c:v>5.2738369437194787E-5</c:v>
                </c:pt>
                <c:pt idx="321">
                  <c:v>5.0803016430325255E-5</c:v>
                </c:pt>
                <c:pt idx="322">
                  <c:v>4.8938685552148183E-5</c:v>
                </c:pt>
                <c:pt idx="323">
                  <c:v>4.7142770486014302E-5</c:v>
                </c:pt>
                <c:pt idx="324">
                  <c:v>4.5412760559922026E-5</c:v>
                </c:pt>
                <c:pt idx="325">
                  <c:v>4.3746237236622129E-5</c:v>
                </c:pt>
                <c:pt idx="326">
                  <c:v>4.214087073252591E-5</c:v>
                </c:pt>
                <c:pt idx="327">
                  <c:v>4.0594416760690098E-5</c:v>
                </c:pt>
                <c:pt idx="328">
                  <c:v>3.910471339332532E-5</c:v>
                </c:pt>
                <c:pt idx="329">
                  <c:v>3.7669678039441828E-5</c:v>
                </c:pt>
                <c:pt idx="330">
                  <c:v>3.628730453340726E-5</c:v>
                </c:pt>
                <c:pt idx="331">
                  <c:v>3.4955660330346439E-5</c:v>
                </c:pt>
                <c:pt idx="332">
                  <c:v>3.367288380446217E-5</c:v>
                </c:pt>
                <c:pt idx="333">
                  <c:v>3.2437181646500251E-5</c:v>
                </c:pt>
                <c:pt idx="334">
                  <c:v>3.1246826356720416E-5</c:v>
                </c:pt>
                <c:pt idx="335">
                  <c:v>3.0100153829868297E-5</c:v>
                </c:pt>
                <c:pt idx="336">
                  <c:v>2.8995561028772212E-5</c:v>
                </c:pt>
                <c:pt idx="337">
                  <c:v>2.7931503743312682E-5</c:v>
                </c:pt>
                <c:pt idx="338">
                  <c:v>2.690649443163148E-5</c:v>
                </c:pt>
                <c:pt idx="339">
                  <c:v>2.5919100140562435E-5</c:v>
                </c:pt>
                <c:pt idx="340">
                  <c:v>2.4967940502376655E-5</c:v>
                </c:pt>
                <c:pt idx="341">
                  <c:v>2.4051685805041734E-5</c:v>
                </c:pt>
                <c:pt idx="342">
                  <c:v>2.3169055133297082E-5</c:v>
                </c:pt>
                <c:pt idx="343">
                  <c:v>2.231881457794673E-5</c:v>
                </c:pt>
                <c:pt idx="344">
                  <c:v>2.1499775510866118E-5</c:v>
                </c:pt>
                <c:pt idx="345">
                  <c:v>2.0710792923311401E-5</c:v>
                </c:pt>
                <c:pt idx="346">
                  <c:v>1.995076382520823E-5</c:v>
                </c:pt>
                <c:pt idx="347">
                  <c:v>1.9218625703182241E-5</c:v>
                </c:pt>
                <c:pt idx="348">
                  <c:v>1.8513355035175552E-5</c:v>
                </c:pt>
                <c:pt idx="349">
                  <c:v>1.7833965859572779E-5</c:v>
                </c:pt>
                <c:pt idx="350">
                  <c:v>1.7179508396836161E-5</c:v>
                </c:pt>
                <c:pt idx="351">
                  <c:v>1.6549067721722907E-5</c:v>
                </c:pt>
                <c:pt idx="352">
                  <c:v>1.5941762484228488E-5</c:v>
                </c:pt>
                <c:pt idx="353">
                  <c:v>1.5356743677467813E-5</c:v>
                </c:pt>
                <c:pt idx="354">
                  <c:v>1.4793193450771744E-5</c:v>
                </c:pt>
                <c:pt idx="355">
                  <c:v>1.4250323966339755E-5</c:v>
                </c:pt>
                <c:pt idx="356">
                  <c:v>1.3727376297850221E-5</c:v>
                </c:pt>
                <c:pt idx="357">
                  <c:v>1.3223619369488745E-5</c:v>
                </c:pt>
                <c:pt idx="358">
                  <c:v>1.2738348933911175E-5</c:v>
                </c:pt>
                <c:pt idx="359">
                  <c:v>1.2270886587712599E-5</c:v>
                </c:pt>
                <c:pt idx="360">
                  <c:v>1.1820578823025899E-5</c:v>
                </c:pt>
                <c:pt idx="361">
                  <c:v>1.1386796113924029E-5</c:v>
                </c:pt>
                <c:pt idx="362">
                  <c:v>1.0968932036348835E-5</c:v>
                </c:pt>
                <c:pt idx="363">
                  <c:v>1.0566402420336034E-5</c:v>
                </c:pt>
                <c:pt idx="364">
                  <c:v>1.0178644533351226E-5</c:v>
                </c:pt>
                <c:pt idx="365">
                  <c:v>9.8051162935952169E-6</c:v>
                </c:pt>
                <c:pt idx="366">
                  <c:v>9.4452955121788771E-6</c:v>
                </c:pt>
                <c:pt idx="367">
                  <c:v>9.0986791631080938E-6</c:v>
                </c:pt>
                <c:pt idx="368">
                  <c:v>8.7647826800582557E-6</c:v>
                </c:pt>
                <c:pt idx="369">
                  <c:v>8.4431392789551991E-6</c:v>
                </c:pt>
                <c:pt idx="370">
                  <c:v>8.1332993054155586E-6</c:v>
                </c:pt>
                <c:pt idx="371">
                  <c:v>7.8348296061342538E-6</c:v>
                </c:pt>
                <c:pt idx="372">
                  <c:v>7.5473129233403371E-6</c:v>
                </c:pt>
                <c:pt idx="373">
                  <c:v>7.2703473114746365E-6</c:v>
                </c:pt>
                <c:pt idx="374">
                  <c:v>7.003545575273732E-6</c:v>
                </c:pt>
                <c:pt idx="375">
                  <c:v>6.7465347284746962E-6</c:v>
                </c:pt>
                <c:pt idx="376">
                  <c:v>6.4989554723838823E-6</c:v>
                </c:pt>
                <c:pt idx="377">
                  <c:v>6.260461693580804E-6</c:v>
                </c:pt>
                <c:pt idx="378">
                  <c:v>6.0307199800549036E-6</c:v>
                </c:pt>
                <c:pt idx="379">
                  <c:v>5.8094091550987607E-6</c:v>
                </c:pt>
                <c:pt idx="380">
                  <c:v>5.596219828306145E-6</c:v>
                </c:pt>
                <c:pt idx="381">
                  <c:v>5.3908539630472038E-6</c:v>
                </c:pt>
                <c:pt idx="382">
                  <c:v>5.1930244598161145E-6</c:v>
                </c:pt>
                <c:pt idx="383">
                  <c:v>5.0024547548687339E-6</c:v>
                </c:pt>
                <c:pt idx="384">
                  <c:v>4.8188784335891467E-6</c:v>
                </c:pt>
                <c:pt idx="385">
                  <c:v>4.6420388580445903E-6</c:v>
                </c:pt>
                <c:pt idx="386">
                  <c:v>4.4716888082080914E-6</c:v>
                </c:pt>
                <c:pt idx="387">
                  <c:v>4.3075901363472444E-6</c:v>
                </c:pt>
                <c:pt idx="388">
                  <c:v>4.1495134340959689E-6</c:v>
                </c:pt>
                <c:pt idx="389">
                  <c:v>3.9972377117438234E-6</c:v>
                </c:pt>
                <c:pt idx="390">
                  <c:v>3.8505500892945088E-6</c:v>
                </c:pt>
                <c:pt idx="391">
                  <c:v>3.7092454988616825E-6</c:v>
                </c:pt>
                <c:pt idx="392">
                  <c:v>3.5731263979860244E-6</c:v>
                </c:pt>
                <c:pt idx="393">
                  <c:v>3.4420024934727751E-6</c:v>
                </c:pt>
                <c:pt idx="394">
                  <c:v>3.3156904753636826E-6</c:v>
                </c:pt>
                <c:pt idx="395">
                  <c:v>3.1940137606714373E-6</c:v>
                </c:pt>
                <c:pt idx="396">
                  <c:v>3.0768022465183573E-6</c:v>
                </c:pt>
                <c:pt idx="397">
                  <c:v>2.963892072334197E-6</c:v>
                </c:pt>
                <c:pt idx="398">
                  <c:v>2.8551253907806484E-6</c:v>
                </c:pt>
                <c:pt idx="399">
                  <c:v>2.7503501470822753E-6</c:v>
                </c:pt>
                <c:pt idx="400">
                  <c:v>2.6494198664554029E-6</c:v>
                </c:pt>
                <c:pt idx="401">
                  <c:v>2.5521934493377732E-6</c:v>
                </c:pt>
                <c:pt idx="402">
                  <c:v>2.4585349741327168E-6</c:v>
                </c:pt>
                <c:pt idx="403">
                  <c:v>2.3683135071920667E-6</c:v>
                </c:pt>
                <c:pt idx="404">
                  <c:v>2.2814029197721743E-6</c:v>
                </c:pt>
                <c:pt idx="405">
                  <c:v>2.1976817117071404E-6</c:v>
                </c:pt>
                <c:pt idx="406">
                  <c:v>2.1170328415527498E-6</c:v>
                </c:pt>
                <c:pt idx="407">
                  <c:v>2.0393435629636579E-6</c:v>
                </c:pt>
                <c:pt idx="408">
                  <c:v>1.9645052670750833E-6</c:v>
                </c:pt>
                <c:pt idx="409">
                  <c:v>1.8924133306686581E-6</c:v>
                </c:pt>
                <c:pt idx="410">
                  <c:v>1.8229669699101753E-6</c:v>
                </c:pt>
                <c:pt idx="411">
                  <c:v>1.7560690994547559E-6</c:v>
                </c:pt>
                <c:pt idx="412">
                  <c:v>1.691626196722471E-6</c:v>
                </c:pt>
                <c:pt idx="413">
                  <c:v>1.6295481711546737E-6</c:v>
                </c:pt>
                <c:pt idx="414">
                  <c:v>1.5697482382682634E-6</c:v>
                </c:pt>
                <c:pt idx="415">
                  <c:v>1.5121427983318134E-6</c:v>
                </c:pt>
                <c:pt idx="416">
                  <c:v>1.4566513194939486E-6</c:v>
                </c:pt>
                <c:pt idx="417">
                  <c:v>1.4031962252005926E-6</c:v>
                </c:pt>
                <c:pt idx="418">
                  <c:v>1.35170278574369E-6</c:v>
                </c:pt>
                <c:pt idx="419">
                  <c:v>1.3020990137897929E-6</c:v>
                </c:pt>
                <c:pt idx="420">
                  <c:v>1.2543155637424612E-6</c:v>
                </c:pt>
                <c:pt idx="421">
                  <c:v>1.2082856347977836E-6</c:v>
                </c:pt>
                <c:pt idx="422">
                  <c:v>1.1639448775574979E-6</c:v>
                </c:pt>
                <c:pt idx="423">
                  <c:v>1.1212313040691492E-6</c:v>
                </c:pt>
                <c:pt idx="424">
                  <c:v>1.0800852011675292E-6</c:v>
                </c:pt>
                <c:pt idx="425">
                  <c:v>1.0404490469962438E-6</c:v>
                </c:pt>
                <c:pt idx="426">
                  <c:v>1.0022674305927119E-6</c:v>
                </c:pt>
                <c:pt idx="427">
                  <c:v>9.6548697442417195E-7</c:v>
                </c:pt>
                <c:pt idx="428">
                  <c:v>9.3005625976640413E-7</c:v>
                </c:pt>
                <c:pt idx="429">
                  <c:v>8.9592575482084788E-7</c:v>
                </c:pt>
                <c:pt idx="430">
                  <c:v>8.630477454696242E-7</c:v>
                </c:pt>
                <c:pt idx="431">
                  <c:v>8.3137626857165627E-7</c:v>
                </c:pt>
                <c:pt idx="432">
                  <c:v>8.008670477066414E-7</c:v>
                </c:pt>
                <c:pt idx="433">
                  <c:v>7.7147743127703993E-7</c:v>
                </c:pt>
                <c:pt idx="434">
                  <c:v>7.4316633288155217E-7</c:v>
                </c:pt>
                <c:pt idx="435">
                  <c:v>7.1589417387672456E-7</c:v>
                </c:pt>
                <c:pt idx="436">
                  <c:v>6.89622828046386E-7</c:v>
                </c:pt>
                <c:pt idx="437">
                  <c:v>6.6431556830156445E-7</c:v>
                </c:pt>
                <c:pt idx="438">
                  <c:v>6.3993701533636951E-7</c:v>
                </c:pt>
                <c:pt idx="439">
                  <c:v>6.1645308816806226E-7</c:v>
                </c:pt>
                <c:pt idx="440">
                  <c:v>5.9383095649216997E-7</c:v>
                </c:pt>
                <c:pt idx="441">
                  <c:v>5.7203899478603533E-7</c:v>
                </c:pt>
                <c:pt idx="442">
                  <c:v>5.510467380966395E-7</c:v>
                </c:pt>
                <c:pt idx="443">
                  <c:v>5.3082483945089127E-7</c:v>
                </c:pt>
                <c:pt idx="444">
                  <c:v>5.1134502882884021E-7</c:v>
                </c:pt>
                <c:pt idx="445">
                  <c:v>4.9258007364246071E-7</c:v>
                </c:pt>
                <c:pt idx="446">
                  <c:v>4.7450374066475578E-7</c:v>
                </c:pt>
                <c:pt idx="447">
                  <c:v>4.5709075935595736E-7</c:v>
                </c:pt>
                <c:pt idx="448">
                  <c:v>4.4031678653555527E-7</c:v>
                </c:pt>
                <c:pt idx="449">
                  <c:v>4.2415837235076432E-7</c:v>
                </c:pt>
                <c:pt idx="450">
                  <c:v>4.0859292749385542E-7</c:v>
                </c:pt>
                <c:pt idx="451">
                  <c:v>3.935986916225213E-7</c:v>
                </c:pt>
                <c:pt idx="452">
                  <c:v>3.7915470293912598E-7</c:v>
                </c:pt>
                <c:pt idx="453">
                  <c:v>3.6524076888631403E-7</c:v>
                </c:pt>
                <c:pt idx="454">
                  <c:v>3.5183743791800893E-7</c:v>
                </c:pt>
                <c:pt idx="455">
                  <c:v>3.3892597230633887E-7</c:v>
                </c:pt>
                <c:pt idx="456">
                  <c:v>3.2648832194647324E-7</c:v>
                </c:pt>
                <c:pt idx="457">
                  <c:v>3.1450709912274941E-7</c:v>
                </c:pt>
                <c:pt idx="458">
                  <c:v>3.029655542008136E-7</c:v>
                </c:pt>
                <c:pt idx="459">
                  <c:v>2.9184755221179294E-7</c:v>
                </c:pt>
                <c:pt idx="460">
                  <c:v>2.8113755029576378E-7</c:v>
                </c:pt>
                <c:pt idx="461">
                  <c:v>2.7082057597298347E-7</c:v>
                </c:pt>
                <c:pt idx="462">
                  <c:v>2.6088220621250701E-7</c:v>
                </c:pt>
                <c:pt idx="463">
                  <c:v>2.5130854726892879E-7</c:v>
                </c:pt>
                <c:pt idx="464">
                  <c:v>2.4208621525905984E-7</c:v>
                </c:pt>
                <c:pt idx="465">
                  <c:v>2.3320231745138789E-7</c:v>
                </c:pt>
                <c:pt idx="466">
                  <c:v>2.2464443424216261E-7</c:v>
                </c:pt>
                <c:pt idx="467">
                  <c:v>2.1640060179290893E-7</c:v>
                </c:pt>
                <c:pt idx="468">
                  <c:v>2.0845929530509577E-7</c:v>
                </c:pt>
                <c:pt idx="469">
                  <c:v>2.0080941290857849E-7</c:v>
                </c:pt>
                <c:pt idx="470">
                  <c:v>1.9344026014129122E-7</c:v>
                </c:pt>
                <c:pt idx="471">
                  <c:v>1.8634153499849156E-7</c:v>
                </c:pt>
                <c:pt idx="472">
                  <c:v>1.79503313530657E-7</c:v>
                </c:pt>
                <c:pt idx="473">
                  <c:v>1.7291603596989892E-7</c:v>
                </c:pt>
                <c:pt idx="474">
                  <c:v>1.6657049336549896E-7</c:v>
                </c:pt>
                <c:pt idx="475">
                  <c:v>1.6045781470988432E-7</c:v>
                </c:pt>
                <c:pt idx="476">
                  <c:v>1.5456945453704453E-7</c:v>
                </c:pt>
                <c:pt idx="477">
                  <c:v>1.4889718097605206E-7</c:v>
                </c:pt>
                <c:pt idx="478">
                  <c:v>1.4343306424298594E-7</c:v>
                </c:pt>
                <c:pt idx="479">
                  <c:v>1.3816946555516992E-7</c:v>
                </c:pt>
                <c:pt idx="480">
                  <c:v>1.3309902645222791E-7</c:v>
                </c:pt>
                <c:pt idx="481">
                  <c:v>1.2821465850902688E-7</c:v>
                </c:pt>
                <c:pt idx="482">
                  <c:v>1.2350953342612679E-7</c:v>
                </c:pt>
                <c:pt idx="483">
                  <c:v>1.1897707348388362E-7</c:v>
                </c:pt>
                <c:pt idx="484">
                  <c:v>1.1461094234686036E-7</c:v>
                </c:pt>
                <c:pt idx="485">
                  <c:v>1.1040503620569116E-7</c:v>
                </c:pt>
                <c:pt idx="486">
                  <c:v>1.0635347524401443E-7</c:v>
                </c:pt>
                <c:pt idx="487">
                  <c:v>1.0245059541854599E-7</c:v>
                </c:pt>
                <c:pt idx="488">
                  <c:v>9.8690940540801169E-8</c:v>
                </c:pt>
                <c:pt idx="489">
                  <c:v>9.5069254649395621E-8</c:v>
                </c:pt>
                <c:pt idx="490">
                  <c:v>9.1580474662261831E-8</c:v>
                </c:pt>
                <c:pt idx="491">
                  <c:v>8.8219723298509108E-8</c:v>
                </c:pt>
                <c:pt idx="492">
                  <c:v>8.49823022600317E-8</c:v>
                </c:pt>
                <c:pt idx="493">
                  <c:v>8.1863685663333279E-8</c:v>
                </c:pt>
                <c:pt idx="494">
                  <c:v>7.8859513712385281E-8</c:v>
                </c:pt>
                <c:pt idx="495">
                  <c:v>7.5965586603673884E-8</c:v>
                </c:pt>
                <c:pt idx="496">
                  <c:v>7.3177858654915204E-8</c:v>
                </c:pt>
                <c:pt idx="497">
                  <c:v>7.0492432649230239E-8</c:v>
                </c:pt>
                <c:pt idx="498">
                  <c:v>6.7905554386873163E-8</c:v>
                </c:pt>
                <c:pt idx="499">
                  <c:v>6.5413607436896163E-8</c:v>
                </c:pt>
                <c:pt idx="500">
                  <c:v>6.3013108081413741E-8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7-4555-8EFE-49462E02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171450</xdr:rowOff>
    </xdr:from>
    <xdr:to>
      <xdr:col>18</xdr:col>
      <xdr:colOff>561975</xdr:colOff>
      <xdr:row>27</xdr:row>
      <xdr:rowOff>190500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59DE438-0946-4554-990A-74966115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</xdr:rowOff>
    </xdr:from>
    <xdr:to>
      <xdr:col>19</xdr:col>
      <xdr:colOff>0</xdr:colOff>
      <xdr:row>15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4289325-947B-4FEB-B2BF-7A0A5956D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171450</xdr:rowOff>
    </xdr:from>
    <xdr:to>
      <xdr:col>18</xdr:col>
      <xdr:colOff>561975</xdr:colOff>
      <xdr:row>27</xdr:row>
      <xdr:rowOff>190500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8C71D3-FD35-450A-B978-48F94D634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</xdr:rowOff>
    </xdr:from>
    <xdr:to>
      <xdr:col>19</xdr:col>
      <xdr:colOff>0</xdr:colOff>
      <xdr:row>15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8DA8D7-061E-420D-9E49-CBC9325BD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3BFC-BB60-437E-83E7-45D8F15A899A}">
  <dimension ref="A1:L50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21" sqref="K21"/>
    </sheetView>
  </sheetViews>
  <sheetFormatPr defaultColWidth="7.5" defaultRowHeight="16.5"/>
  <cols>
    <col min="1" max="1" width="7.5" style="1"/>
    <col min="2" max="2" width="13.5" style="2" customWidth="1"/>
    <col min="3" max="3" width="16.5" style="5" customWidth="1"/>
    <col min="4" max="4" width="7.5" style="8"/>
    <col min="5" max="5" width="16.5" style="5" customWidth="1"/>
    <col min="6" max="6" width="6.375" style="2" customWidth="1"/>
    <col min="7" max="7" width="9.75" style="5" bestFit="1" customWidth="1"/>
    <col min="8" max="8" width="10.75" style="2" customWidth="1"/>
    <col min="9" max="9" width="15.5" style="5" bestFit="1" customWidth="1"/>
    <col min="10" max="10" width="8.625" style="1" customWidth="1"/>
    <col min="11" max="11" width="7.375" style="1" customWidth="1"/>
    <col min="12" max="12" width="23.625" style="5" customWidth="1"/>
    <col min="13" max="15" width="8.625" style="1" customWidth="1"/>
    <col min="16" max="16384" width="7.5" style="1"/>
  </cols>
  <sheetData>
    <row r="1" spans="1:12" s="3" customFormat="1" ht="33">
      <c r="B1" s="4" t="s">
        <v>1</v>
      </c>
      <c r="C1" s="6" t="s">
        <v>4</v>
      </c>
      <c r="D1" s="7" t="s">
        <v>2</v>
      </c>
      <c r="E1" s="6" t="s">
        <v>4</v>
      </c>
      <c r="F1" s="4" t="s">
        <v>247</v>
      </c>
      <c r="G1" s="6" t="s">
        <v>4</v>
      </c>
      <c r="H1" s="4" t="s">
        <v>1069</v>
      </c>
      <c r="I1" s="6" t="s">
        <v>4</v>
      </c>
      <c r="J1" s="21" t="s">
        <v>245</v>
      </c>
      <c r="K1" s="21"/>
      <c r="L1" s="6" t="s">
        <v>4</v>
      </c>
    </row>
    <row r="2" spans="1:12">
      <c r="A2" s="1" t="s">
        <v>0</v>
      </c>
      <c r="B2" s="2">
        <v>8.2799999999999994</v>
      </c>
    </row>
    <row r="3" spans="1:12">
      <c r="A3" s="14" t="s">
        <v>34</v>
      </c>
      <c r="B3" s="15" t="s">
        <v>36</v>
      </c>
      <c r="D3" s="16" t="s">
        <v>11</v>
      </c>
      <c r="J3" s="13" t="s">
        <v>246</v>
      </c>
      <c r="K3" s="23">
        <f>SUM(F4:F13)</f>
        <v>112.50041569762745</v>
      </c>
      <c r="L3" s="5" t="s">
        <v>33</v>
      </c>
    </row>
    <row r="4" spans="1:12">
      <c r="A4" s="1" t="s">
        <v>41</v>
      </c>
      <c r="B4" s="2">
        <f>B2*(1+15%)</f>
        <v>9.5219999999999985</v>
      </c>
      <c r="C4" s="5" t="s">
        <v>3</v>
      </c>
      <c r="D4" s="8">
        <f>1/(1+9%)</f>
        <v>0.9174311926605504</v>
      </c>
      <c r="E4" s="5" t="s">
        <v>12</v>
      </c>
      <c r="F4" s="2">
        <f>B4*D4</f>
        <v>8.7357798165137588</v>
      </c>
      <c r="G4" s="5" t="s">
        <v>22</v>
      </c>
      <c r="H4" s="2">
        <f>SUM(F$4:F4)</f>
        <v>8.7357798165137588</v>
      </c>
      <c r="I4" s="5" t="s">
        <v>572</v>
      </c>
      <c r="J4" s="1" t="s">
        <v>248</v>
      </c>
      <c r="K4" s="24">
        <f>SUM(F$15:F34)</f>
        <v>195.58203396953698</v>
      </c>
      <c r="L4" s="5" t="s">
        <v>249</v>
      </c>
    </row>
    <row r="5" spans="1:12">
      <c r="A5" s="1" t="s">
        <v>42</v>
      </c>
      <c r="B5" s="2">
        <f>B4*(1+15%)</f>
        <v>10.950299999999997</v>
      </c>
      <c r="C5" s="5" t="s">
        <v>5</v>
      </c>
      <c r="D5" s="8">
        <f>D4/(1+9%)</f>
        <v>0.84167999326655996</v>
      </c>
      <c r="E5" s="5" t="s">
        <v>13</v>
      </c>
      <c r="F5" s="2">
        <f t="shared" ref="F5:F13" si="0">B5*D5</f>
        <v>9.2166484302668081</v>
      </c>
      <c r="G5" s="5" t="s">
        <v>23</v>
      </c>
      <c r="H5" s="2">
        <f>SUM(F$4:F5)</f>
        <v>17.952428246780567</v>
      </c>
      <c r="I5" s="5" t="s">
        <v>570</v>
      </c>
      <c r="J5" s="1" t="s">
        <v>250</v>
      </c>
      <c r="K5" s="24">
        <f>SUM(F$15:F104)</f>
        <v>358.58783450203583</v>
      </c>
      <c r="L5" s="5" t="s">
        <v>552</v>
      </c>
    </row>
    <row r="6" spans="1:12">
      <c r="A6" s="1" t="s">
        <v>43</v>
      </c>
      <c r="B6" s="2">
        <f t="shared" ref="B6:B13" si="1">B5*(1+15%)</f>
        <v>12.592844999999995</v>
      </c>
      <c r="C6" s="5" t="s">
        <v>6</v>
      </c>
      <c r="D6" s="8">
        <f t="shared" ref="D6:D12" si="2">D5/(1+9%)</f>
        <v>0.77218348006106408</v>
      </c>
      <c r="E6" s="5" t="s">
        <v>14</v>
      </c>
      <c r="F6" s="2">
        <f t="shared" si="0"/>
        <v>9.7239868759695671</v>
      </c>
      <c r="G6" s="5" t="s">
        <v>24</v>
      </c>
      <c r="H6" s="2">
        <f>SUM(F$4:F6)</f>
        <v>27.676415122750136</v>
      </c>
      <c r="I6" s="5" t="s">
        <v>571</v>
      </c>
      <c r="J6" s="20" t="s">
        <v>1070</v>
      </c>
      <c r="K6" s="24"/>
    </row>
    <row r="7" spans="1:12">
      <c r="A7" s="1" t="s">
        <v>44</v>
      </c>
      <c r="B7" s="2">
        <f t="shared" si="1"/>
        <v>14.481771749999993</v>
      </c>
      <c r="C7" s="5" t="s">
        <v>9</v>
      </c>
      <c r="D7" s="8">
        <f t="shared" si="2"/>
        <v>0.7084252110651964</v>
      </c>
      <c r="E7" s="5" t="s">
        <v>15</v>
      </c>
      <c r="F7" s="2">
        <f t="shared" si="0"/>
        <v>10.259252208591743</v>
      </c>
      <c r="G7" s="5" t="s">
        <v>25</v>
      </c>
      <c r="H7" s="2">
        <f>SUM(F$4:F7)</f>
        <v>37.935667331341875</v>
      </c>
      <c r="I7" s="5" t="s">
        <v>573</v>
      </c>
      <c r="J7" s="1" t="s">
        <v>551</v>
      </c>
      <c r="K7" s="24">
        <f>SUM(F$15:F504)</f>
        <v>371.42665217338919</v>
      </c>
      <c r="L7" s="5" t="s">
        <v>553</v>
      </c>
    </row>
    <row r="8" spans="1:12">
      <c r="A8" s="1" t="s">
        <v>45</v>
      </c>
      <c r="B8" s="2">
        <f t="shared" si="1"/>
        <v>16.65403751249999</v>
      </c>
      <c r="C8" s="5" t="s">
        <v>7</v>
      </c>
      <c r="D8" s="8">
        <f t="shared" si="2"/>
        <v>0.64993138629834524</v>
      </c>
      <c r="E8" s="5" t="s">
        <v>16</v>
      </c>
      <c r="F8" s="2">
        <f t="shared" si="0"/>
        <v>10.823981687963764</v>
      </c>
      <c r="G8" s="5" t="s">
        <v>26</v>
      </c>
      <c r="H8" s="2">
        <f>SUM(F$4:F8)</f>
        <v>48.759649019305641</v>
      </c>
      <c r="I8" s="5" t="s">
        <v>574</v>
      </c>
      <c r="J8" s="20" t="s">
        <v>554</v>
      </c>
      <c r="K8" s="17"/>
    </row>
    <row r="9" spans="1:12">
      <c r="A9" s="1" t="s">
        <v>46</v>
      </c>
      <c r="B9" s="2">
        <f t="shared" si="1"/>
        <v>19.152143139374985</v>
      </c>
      <c r="C9" s="5" t="s">
        <v>8</v>
      </c>
      <c r="D9" s="8">
        <f t="shared" si="2"/>
        <v>0.5962673268792158</v>
      </c>
      <c r="E9" s="5" t="s">
        <v>17</v>
      </c>
      <c r="F9" s="2">
        <f t="shared" si="0"/>
        <v>11.419797193723234</v>
      </c>
      <c r="G9" s="5" t="s">
        <v>27</v>
      </c>
      <c r="H9" s="2">
        <f>SUM(F$4:F9)</f>
        <v>60.179446213028875</v>
      </c>
      <c r="I9" s="5" t="s">
        <v>575</v>
      </c>
      <c r="J9" s="20" t="s">
        <v>1071</v>
      </c>
      <c r="K9" s="17"/>
    </row>
    <row r="10" spans="1:12">
      <c r="A10" s="1" t="s">
        <v>47</v>
      </c>
      <c r="B10" s="2">
        <f t="shared" si="1"/>
        <v>22.024964610281231</v>
      </c>
      <c r="C10" s="5" t="s">
        <v>10</v>
      </c>
      <c r="D10" s="8">
        <f t="shared" si="2"/>
        <v>0.5470342448433172</v>
      </c>
      <c r="E10" s="5" t="s">
        <v>18</v>
      </c>
      <c r="F10" s="2">
        <f t="shared" si="0"/>
        <v>12.048409883285979</v>
      </c>
      <c r="G10" s="5" t="s">
        <v>28</v>
      </c>
      <c r="H10" s="2">
        <f>SUM(F$4:F10)</f>
        <v>72.227856096314852</v>
      </c>
      <c r="I10" s="5" t="s">
        <v>576</v>
      </c>
      <c r="J10" s="20" t="s">
        <v>1074</v>
      </c>
      <c r="K10" s="17"/>
    </row>
    <row r="11" spans="1:12">
      <c r="A11" s="1" t="s">
        <v>48</v>
      </c>
      <c r="B11" s="2">
        <f t="shared" si="1"/>
        <v>25.328709301823412</v>
      </c>
      <c r="C11" s="5" t="s">
        <v>38</v>
      </c>
      <c r="D11" s="8">
        <f t="shared" si="2"/>
        <v>0.50186627967276798</v>
      </c>
      <c r="E11" s="5" t="s">
        <v>19</v>
      </c>
      <c r="F11" s="2">
        <f t="shared" si="0"/>
        <v>12.711625106219149</v>
      </c>
      <c r="G11" s="5" t="s">
        <v>29</v>
      </c>
      <c r="H11" s="2">
        <f>SUM(F$4:F11)</f>
        <v>84.939481202533997</v>
      </c>
      <c r="I11" s="5" t="s">
        <v>577</v>
      </c>
      <c r="J11" s="20" t="s">
        <v>1075</v>
      </c>
      <c r="K11" s="17"/>
    </row>
    <row r="12" spans="1:12">
      <c r="A12" s="1" t="s">
        <v>49</v>
      </c>
      <c r="B12" s="2">
        <f t="shared" si="1"/>
        <v>29.128015697096924</v>
      </c>
      <c r="C12" s="5" t="s">
        <v>39</v>
      </c>
      <c r="D12" s="8">
        <f t="shared" si="2"/>
        <v>0.46042777951630087</v>
      </c>
      <c r="E12" s="5" t="s">
        <v>20</v>
      </c>
      <c r="F12" s="2">
        <f t="shared" si="0"/>
        <v>13.411347589130294</v>
      </c>
      <c r="G12" s="5" t="s">
        <v>30</v>
      </c>
      <c r="H12" s="2">
        <f>SUM(F$4:F12)</f>
        <v>98.350828791664298</v>
      </c>
      <c r="I12" s="5" t="s">
        <v>578</v>
      </c>
      <c r="J12" s="13" t="s">
        <v>35</v>
      </c>
      <c r="K12" s="23">
        <f>B15/(9%-5%)*D13</f>
        <v>371.42665628153281</v>
      </c>
    </row>
    <row r="13" spans="1:12">
      <c r="A13" s="9" t="s">
        <v>50</v>
      </c>
      <c r="B13" s="10">
        <f t="shared" si="1"/>
        <v>33.497218051661463</v>
      </c>
      <c r="C13" s="11" t="s">
        <v>40</v>
      </c>
      <c r="D13" s="12">
        <f>D12/(1+9%)</f>
        <v>0.42241080689568883</v>
      </c>
      <c r="E13" s="11" t="s">
        <v>21</v>
      </c>
      <c r="F13" s="10">
        <f t="shared" si="0"/>
        <v>14.149586905963153</v>
      </c>
      <c r="G13" s="11" t="s">
        <v>31</v>
      </c>
      <c r="H13" s="2">
        <f>SUM(F$4:F13)</f>
        <v>112.50041569762745</v>
      </c>
      <c r="I13" s="5" t="s">
        <v>32</v>
      </c>
      <c r="J13" s="14" t="s">
        <v>555</v>
      </c>
      <c r="K13" s="19">
        <f>K3+K12</f>
        <v>483.92707197916025</v>
      </c>
    </row>
    <row r="14" spans="1:12">
      <c r="A14" s="14" t="s">
        <v>35</v>
      </c>
      <c r="B14" s="15" t="s">
        <v>37</v>
      </c>
      <c r="D14" s="16" t="s">
        <v>11</v>
      </c>
      <c r="L14" s="18"/>
    </row>
    <row r="15" spans="1:12">
      <c r="A15" s="1" t="s">
        <v>51</v>
      </c>
      <c r="B15" s="2">
        <f>B13*(1+5%)</f>
        <v>35.17207895424454</v>
      </c>
      <c r="C15" s="5" t="s">
        <v>52</v>
      </c>
      <c r="D15" s="8">
        <f>D13/(1+9%)</f>
        <v>0.38753285036301727</v>
      </c>
      <c r="E15" s="5" t="s">
        <v>243</v>
      </c>
      <c r="F15" s="2">
        <f>B15*D15</f>
        <v>13.630336010331478</v>
      </c>
      <c r="G15" s="5" t="s">
        <v>244</v>
      </c>
      <c r="H15" s="2">
        <f>SUM(F$4:F15)</f>
        <v>126.13075170795892</v>
      </c>
      <c r="I15" s="5" t="s">
        <v>579</v>
      </c>
      <c r="L15" s="18"/>
    </row>
    <row r="16" spans="1:12">
      <c r="A16" s="1" t="s">
        <v>53</v>
      </c>
      <c r="B16" s="2">
        <f>B15*(1+5%)</f>
        <v>36.930682901956772</v>
      </c>
      <c r="C16" s="5" t="s">
        <v>68</v>
      </c>
      <c r="D16" s="8">
        <f>D15/(1+9%)</f>
        <v>0.35553472510368556</v>
      </c>
      <c r="F16" s="2">
        <f t="shared" ref="F16:F79" si="3">B16*D16</f>
        <v>13.130140193438582</v>
      </c>
      <c r="H16" s="2">
        <f>SUM(F$4:F16)</f>
        <v>139.26089190139751</v>
      </c>
      <c r="I16" s="5" t="s">
        <v>580</v>
      </c>
      <c r="L16" s="18"/>
    </row>
    <row r="17" spans="1:12">
      <c r="A17" s="1" t="s">
        <v>54</v>
      </c>
      <c r="B17" s="2">
        <f t="shared" ref="B17:B80" si="4">B16*(1+5%)</f>
        <v>38.777217047054613</v>
      </c>
      <c r="D17" s="8">
        <f t="shared" ref="D17:D80" si="5">D16/(1+9%)</f>
        <v>0.32617864688411519</v>
      </c>
      <c r="F17" s="2">
        <f t="shared" si="3"/>
        <v>12.648300186339918</v>
      </c>
      <c r="H17" s="2">
        <f>SUM(F$4:F17)</f>
        <v>151.90919208773744</v>
      </c>
      <c r="I17" s="5" t="s">
        <v>581</v>
      </c>
      <c r="L17" s="18"/>
    </row>
    <row r="18" spans="1:12">
      <c r="A18" s="1" t="s">
        <v>55</v>
      </c>
      <c r="B18" s="2">
        <f t="shared" si="4"/>
        <v>40.716077899407345</v>
      </c>
      <c r="D18" s="8">
        <f t="shared" si="5"/>
        <v>0.29924646503129831</v>
      </c>
      <c r="F18" s="2">
        <f t="shared" si="3"/>
        <v>12.184142381336619</v>
      </c>
      <c r="H18" s="2">
        <f>SUM(F$4:F18)</f>
        <v>164.09333446907405</v>
      </c>
      <c r="I18" s="5" t="s">
        <v>582</v>
      </c>
      <c r="L18" s="18"/>
    </row>
    <row r="19" spans="1:12">
      <c r="A19" s="1" t="s">
        <v>56</v>
      </c>
      <c r="B19" s="2">
        <f t="shared" si="4"/>
        <v>42.751881794377717</v>
      </c>
      <c r="D19" s="8">
        <f t="shared" si="5"/>
        <v>0.27453804131311771</v>
      </c>
      <c r="F19" s="2">
        <f t="shared" si="3"/>
        <v>11.737017890278395</v>
      </c>
      <c r="H19" s="2">
        <f>SUM(F$4:F19)</f>
        <v>175.83035235935245</v>
      </c>
      <c r="I19" s="5" t="s">
        <v>583</v>
      </c>
      <c r="L19" s="18"/>
    </row>
    <row r="20" spans="1:12">
      <c r="A20" s="1" t="s">
        <v>57</v>
      </c>
      <c r="B20" s="2">
        <f t="shared" si="4"/>
        <v>44.889475884096605</v>
      </c>
      <c r="D20" s="8">
        <f t="shared" si="5"/>
        <v>0.25186976267258504</v>
      </c>
      <c r="F20" s="2">
        <f t="shared" si="3"/>
        <v>11.306301637424141</v>
      </c>
      <c r="H20" s="2">
        <f>SUM(F$4:F20)</f>
        <v>187.1366539967766</v>
      </c>
      <c r="I20" s="5" t="s">
        <v>584</v>
      </c>
    </row>
    <row r="21" spans="1:12">
      <c r="A21" s="1" t="s">
        <v>58</v>
      </c>
      <c r="B21" s="2">
        <f t="shared" si="4"/>
        <v>47.133949678301434</v>
      </c>
      <c r="D21" s="8">
        <f t="shared" si="5"/>
        <v>0.23107317676383948</v>
      </c>
      <c r="F21" s="2">
        <f t="shared" si="3"/>
        <v>10.891391485592063</v>
      </c>
      <c r="H21" s="2">
        <f>SUM(F$4:F21)</f>
        <v>198.02804548236867</v>
      </c>
      <c r="I21" s="5" t="s">
        <v>585</v>
      </c>
    </row>
    <row r="22" spans="1:12">
      <c r="A22" s="1" t="s">
        <v>59</v>
      </c>
      <c r="B22" s="2">
        <f t="shared" si="4"/>
        <v>49.490647162216504</v>
      </c>
      <c r="D22" s="8">
        <f t="shared" si="5"/>
        <v>0.21199374015031144</v>
      </c>
      <c r="F22" s="2">
        <f t="shared" si="3"/>
        <v>10.491707394377674</v>
      </c>
      <c r="H22" s="2">
        <f>SUM(F$4:F22)</f>
        <v>208.51975287674634</v>
      </c>
      <c r="I22" s="5" t="s">
        <v>586</v>
      </c>
    </row>
    <row r="23" spans="1:12">
      <c r="A23" s="1" t="s">
        <v>60</v>
      </c>
      <c r="B23" s="2">
        <f t="shared" si="4"/>
        <v>51.965179520327332</v>
      </c>
      <c r="D23" s="8">
        <f t="shared" si="5"/>
        <v>0.19448966986267102</v>
      </c>
      <c r="F23" s="2">
        <f t="shared" si="3"/>
        <v>10.106690609262897</v>
      </c>
      <c r="H23" s="2">
        <f>SUM(F$4:F23)</f>
        <v>218.62644348600924</v>
      </c>
      <c r="I23" s="5" t="s">
        <v>587</v>
      </c>
    </row>
    <row r="24" spans="1:12">
      <c r="A24" s="1" t="s">
        <v>61</v>
      </c>
      <c r="B24" s="2">
        <f t="shared" si="4"/>
        <v>54.5634384963437</v>
      </c>
      <c r="D24" s="8">
        <f t="shared" si="5"/>
        <v>0.17843088978226698</v>
      </c>
      <c r="F24" s="2">
        <f t="shared" si="3"/>
        <v>9.7358028804826056</v>
      </c>
      <c r="H24" s="2">
        <f>SUM(F$4:F24)</f>
        <v>228.36224636649183</v>
      </c>
      <c r="I24" s="5" t="s">
        <v>588</v>
      </c>
    </row>
    <row r="25" spans="1:12">
      <c r="A25" s="1" t="s">
        <v>62</v>
      </c>
      <c r="B25" s="2">
        <f t="shared" si="4"/>
        <v>57.29161042116089</v>
      </c>
      <c r="D25" s="8">
        <f t="shared" si="5"/>
        <v>0.16369806402042841</v>
      </c>
      <c r="F25" s="2">
        <f t="shared" si="3"/>
        <v>9.3785257105566391</v>
      </c>
      <c r="H25" s="2">
        <f>SUM(F$4:F25)</f>
        <v>237.74077207704846</v>
      </c>
      <c r="I25" s="5" t="s">
        <v>589</v>
      </c>
    </row>
    <row r="26" spans="1:12">
      <c r="A26" s="1" t="s">
        <v>63</v>
      </c>
      <c r="B26" s="2">
        <f t="shared" si="4"/>
        <v>60.156190942218934</v>
      </c>
      <c r="D26" s="8">
        <f t="shared" si="5"/>
        <v>0.15018171011048478</v>
      </c>
      <c r="F26" s="2">
        <f t="shared" si="3"/>
        <v>9.0343596294352952</v>
      </c>
      <c r="H26" s="2">
        <f>SUM(F$4:F26)</f>
        <v>246.77513170648376</v>
      </c>
      <c r="I26" s="5" t="s">
        <v>590</v>
      </c>
    </row>
    <row r="27" spans="1:12">
      <c r="A27" s="1" t="s">
        <v>64</v>
      </c>
      <c r="B27" s="2">
        <f t="shared" si="4"/>
        <v>63.164000489329887</v>
      </c>
      <c r="D27" s="8">
        <f t="shared" si="5"/>
        <v>0.1377813854224631</v>
      </c>
      <c r="F27" s="2">
        <f t="shared" si="3"/>
        <v>8.7028234962450082</v>
      </c>
      <c r="H27" s="2">
        <f>SUM(F$4:F27)</f>
        <v>255.47795520272877</v>
      </c>
      <c r="I27" s="5" t="s">
        <v>591</v>
      </c>
    </row>
    <row r="28" spans="1:12">
      <c r="A28" s="1" t="s">
        <v>65</v>
      </c>
      <c r="B28" s="2">
        <f t="shared" si="4"/>
        <v>66.322200513796389</v>
      </c>
      <c r="D28" s="8">
        <f t="shared" si="5"/>
        <v>0.1264049407545533</v>
      </c>
      <c r="F28" s="2">
        <f t="shared" si="3"/>
        <v>8.3834538266580374</v>
      </c>
      <c r="H28" s="2">
        <f>SUM(F$4:F28)</f>
        <v>263.86140902938678</v>
      </c>
      <c r="I28" s="5" t="s">
        <v>592</v>
      </c>
    </row>
    <row r="29" spans="1:12">
      <c r="A29" s="1" t="s">
        <v>66</v>
      </c>
      <c r="B29" s="2">
        <f t="shared" si="4"/>
        <v>69.638310539486213</v>
      </c>
      <c r="D29" s="8">
        <f t="shared" si="5"/>
        <v>0.11596783555463605</v>
      </c>
      <c r="F29" s="2">
        <f t="shared" si="3"/>
        <v>8.0758041449458151</v>
      </c>
      <c r="H29" s="2">
        <f>SUM(F$4:F29)</f>
        <v>271.93721317433261</v>
      </c>
      <c r="I29" s="5" t="s">
        <v>593</v>
      </c>
    </row>
    <row r="30" spans="1:12">
      <c r="A30" s="1" t="s">
        <v>67</v>
      </c>
      <c r="B30" s="2">
        <f t="shared" si="4"/>
        <v>73.120226066460532</v>
      </c>
      <c r="D30" s="8">
        <f t="shared" si="5"/>
        <v>0.10639250968315234</v>
      </c>
      <c r="F30" s="2">
        <f t="shared" si="3"/>
        <v>7.7794443598101903</v>
      </c>
      <c r="H30" s="2">
        <f>SUM(F$4:F30)</f>
        <v>279.71665753414283</v>
      </c>
      <c r="I30" s="5" t="s">
        <v>594</v>
      </c>
    </row>
    <row r="31" spans="1:12">
      <c r="A31" s="1" t="s">
        <v>69</v>
      </c>
      <c r="B31" s="2">
        <f t="shared" si="4"/>
        <v>76.776237369783559</v>
      </c>
      <c r="D31" s="8">
        <f t="shared" si="5"/>
        <v>9.7607807048763609E-2</v>
      </c>
      <c r="F31" s="2">
        <f t="shared" si="3"/>
        <v>7.4939601631199073</v>
      </c>
      <c r="H31" s="2">
        <f>SUM(F$4:F31)</f>
        <v>287.21061769726271</v>
      </c>
      <c r="I31" s="5" t="s">
        <v>595</v>
      </c>
    </row>
    <row r="32" spans="1:12">
      <c r="A32" s="1" t="s">
        <v>70</v>
      </c>
      <c r="B32" s="2">
        <f t="shared" si="4"/>
        <v>80.615049238272746</v>
      </c>
      <c r="D32" s="8">
        <f t="shared" si="5"/>
        <v>8.9548446833728076E-2</v>
      </c>
      <c r="F32" s="2">
        <f t="shared" si="3"/>
        <v>7.2189524507118383</v>
      </c>
      <c r="H32" s="2">
        <f>SUM(F$4:F32)</f>
        <v>294.42957014797452</v>
      </c>
      <c r="I32" s="5" t="s">
        <v>596</v>
      </c>
    </row>
    <row r="33" spans="1:9">
      <c r="A33" s="1" t="s">
        <v>71</v>
      </c>
      <c r="B33" s="2">
        <f t="shared" si="4"/>
        <v>84.645801700186382</v>
      </c>
      <c r="D33" s="8">
        <f t="shared" si="5"/>
        <v>8.215453837956703E-2</v>
      </c>
      <c r="F33" s="2">
        <f t="shared" si="3"/>
        <v>6.9540367644471823</v>
      </c>
      <c r="H33" s="2">
        <f>SUM(F$4:F33)</f>
        <v>301.38360691242173</v>
      </c>
      <c r="I33" s="5" t="s">
        <v>597</v>
      </c>
    </row>
    <row r="34" spans="1:9">
      <c r="A34" s="1" t="s">
        <v>72</v>
      </c>
      <c r="B34" s="2">
        <f t="shared" si="4"/>
        <v>88.878091785195707</v>
      </c>
      <c r="D34" s="8">
        <f t="shared" si="5"/>
        <v>7.5371136128043137E-2</v>
      </c>
      <c r="F34" s="2">
        <f t="shared" si="3"/>
        <v>6.6988427547426985</v>
      </c>
      <c r="H34" s="2">
        <f>SUM(F$4:F34)</f>
        <v>308.08244966716444</v>
      </c>
      <c r="I34" s="5" t="s">
        <v>598</v>
      </c>
    </row>
    <row r="35" spans="1:9">
      <c r="A35" s="1" t="s">
        <v>73</v>
      </c>
      <c r="B35" s="2">
        <f t="shared" si="4"/>
        <v>93.321996374455495</v>
      </c>
      <c r="D35" s="8">
        <f t="shared" si="5"/>
        <v>6.9147831310131316E-2</v>
      </c>
      <c r="F35" s="2">
        <f t="shared" si="3"/>
        <v>6.4530136628255352</v>
      </c>
      <c r="H35" s="2">
        <f>SUM(F$4:F35)</f>
        <v>314.53546332998997</v>
      </c>
      <c r="I35" s="5" t="s">
        <v>599</v>
      </c>
    </row>
    <row r="36" spans="1:9">
      <c r="A36" s="1" t="s">
        <v>74</v>
      </c>
      <c r="B36" s="2">
        <f t="shared" si="4"/>
        <v>97.988096193178279</v>
      </c>
      <c r="D36" s="8">
        <f t="shared" si="5"/>
        <v>6.3438377348744315E-2</v>
      </c>
      <c r="F36" s="2">
        <f t="shared" si="3"/>
        <v>6.2162058219879004</v>
      </c>
      <c r="H36" s="2">
        <f>SUM(F$4:F36)</f>
        <v>320.75166915197786</v>
      </c>
      <c r="I36" s="5" t="s">
        <v>600</v>
      </c>
    </row>
    <row r="37" spans="1:9">
      <c r="A37" s="1" t="s">
        <v>75</v>
      </c>
      <c r="B37" s="2">
        <f t="shared" si="4"/>
        <v>102.8875010028372</v>
      </c>
      <c r="D37" s="8">
        <f t="shared" si="5"/>
        <v>5.8200346191508545E-2</v>
      </c>
      <c r="F37" s="2">
        <f t="shared" si="3"/>
        <v>5.9880881771443075</v>
      </c>
      <c r="H37" s="2">
        <f>SUM(F$4:F37)</f>
        <v>326.7397573291222</v>
      </c>
      <c r="I37" s="5" t="s">
        <v>601</v>
      </c>
    </row>
    <row r="38" spans="1:9">
      <c r="A38" s="1" t="s">
        <v>76</v>
      </c>
      <c r="B38" s="2">
        <f t="shared" si="4"/>
        <v>108.03187605297906</v>
      </c>
      <c r="D38" s="8">
        <f t="shared" si="5"/>
        <v>5.3394813019732604E-2</v>
      </c>
      <c r="F38" s="2">
        <f t="shared" si="3"/>
        <v>5.7683418220197451</v>
      </c>
      <c r="H38" s="2">
        <f>SUM(F$4:F38)</f>
        <v>332.50809915114195</v>
      </c>
      <c r="I38" s="5" t="s">
        <v>602</v>
      </c>
    </row>
    <row r="39" spans="1:9">
      <c r="A39" s="1" t="s">
        <v>77</v>
      </c>
      <c r="B39" s="2">
        <f t="shared" si="4"/>
        <v>113.43346985562802</v>
      </c>
      <c r="D39" s="8">
        <f t="shared" si="5"/>
        <v>4.8986066990580369E-2</v>
      </c>
      <c r="F39" s="2">
        <f t="shared" si="3"/>
        <v>5.5566595533217731</v>
      </c>
      <c r="H39" s="2">
        <f>SUM(F$4:F39)</f>
        <v>338.06475870446371</v>
      </c>
      <c r="I39" s="5" t="s">
        <v>603</v>
      </c>
    </row>
    <row r="40" spans="1:9">
      <c r="A40" s="1" t="s">
        <v>78</v>
      </c>
      <c r="B40" s="2">
        <f t="shared" si="4"/>
        <v>119.10514334840943</v>
      </c>
      <c r="D40" s="8">
        <f t="shared" si="5"/>
        <v>4.4941345862917766E-2</v>
      </c>
      <c r="F40" s="2">
        <f t="shared" si="3"/>
        <v>5.3527454412732673</v>
      </c>
      <c r="H40" s="2">
        <f>SUM(F$4:F40)</f>
        <v>343.41750414573698</v>
      </c>
      <c r="I40" s="5" t="s">
        <v>604</v>
      </c>
    </row>
    <row r="41" spans="1:9">
      <c r="A41" s="1" t="s">
        <v>79</v>
      </c>
      <c r="B41" s="2">
        <f t="shared" si="4"/>
        <v>125.0604005158299</v>
      </c>
      <c r="D41" s="8">
        <f t="shared" si="5"/>
        <v>4.123059253478694E-2</v>
      </c>
      <c r="F41" s="2">
        <f t="shared" si="3"/>
        <v>5.1563144159054408</v>
      </c>
      <c r="H41" s="2">
        <f>SUM(F$4:F41)</f>
        <v>348.57381856164244</v>
      </c>
      <c r="I41" s="5" t="s">
        <v>605</v>
      </c>
    </row>
    <row r="42" spans="1:9">
      <c r="A42" s="1" t="s">
        <v>80</v>
      </c>
      <c r="B42" s="2">
        <f t="shared" si="4"/>
        <v>131.31342054162141</v>
      </c>
      <c r="D42" s="8">
        <f t="shared" si="5"/>
        <v>3.7826231683290766E-2</v>
      </c>
      <c r="F42" s="2">
        <f t="shared" si="3"/>
        <v>4.9670918685327647</v>
      </c>
      <c r="H42" s="2">
        <f>SUM(F$4:F42)</f>
        <v>353.54091043017519</v>
      </c>
      <c r="I42" s="5" t="s">
        <v>606</v>
      </c>
    </row>
    <row r="43" spans="1:9">
      <c r="A43" s="1" t="s">
        <v>81</v>
      </c>
      <c r="B43" s="2">
        <f t="shared" si="4"/>
        <v>137.87909156870248</v>
      </c>
      <c r="D43" s="8">
        <f t="shared" si="5"/>
        <v>3.4702964847055748E-2</v>
      </c>
      <c r="F43" s="2">
        <f t="shared" si="3"/>
        <v>4.7848132678526625</v>
      </c>
      <c r="H43" s="2">
        <f>SUM(F$4:F43)</f>
        <v>358.32572369802784</v>
      </c>
      <c r="I43" s="5" t="s">
        <v>607</v>
      </c>
    </row>
    <row r="44" spans="1:9">
      <c r="A44" s="1" t="s">
        <v>82</v>
      </c>
      <c r="B44" s="2">
        <f t="shared" si="4"/>
        <v>144.77304614713762</v>
      </c>
      <c r="D44" s="8">
        <f t="shared" si="5"/>
        <v>3.1837582428491509E-2</v>
      </c>
      <c r="F44" s="2">
        <f t="shared" si="3"/>
        <v>4.6092237901332993</v>
      </c>
      <c r="H44" s="2">
        <f>SUM(F$4:F44)</f>
        <v>362.93494748816113</v>
      </c>
      <c r="I44" s="5" t="s">
        <v>608</v>
      </c>
    </row>
    <row r="45" spans="1:9">
      <c r="A45" s="1" t="s">
        <v>83</v>
      </c>
      <c r="B45" s="2">
        <f t="shared" si="4"/>
        <v>152.01169845449451</v>
      </c>
      <c r="D45" s="8">
        <f t="shared" si="5"/>
        <v>2.9208791218799549E-2</v>
      </c>
      <c r="F45" s="2">
        <f t="shared" si="3"/>
        <v>4.4400779629724445</v>
      </c>
      <c r="H45" s="2">
        <f>SUM(F$4:F45)</f>
        <v>367.37502545113358</v>
      </c>
      <c r="I45" s="5" t="s">
        <v>609</v>
      </c>
    </row>
    <row r="46" spans="1:9">
      <c r="A46" s="1" t="s">
        <v>84</v>
      </c>
      <c r="B46" s="2">
        <f t="shared" si="4"/>
        <v>159.61228337721923</v>
      </c>
      <c r="D46" s="8">
        <f t="shared" si="5"/>
        <v>2.6797056164036281E-2</v>
      </c>
      <c r="F46" s="2">
        <f t="shared" si="3"/>
        <v>4.2771393221294183</v>
      </c>
      <c r="H46" s="2">
        <f>SUM(F$4:F46)</f>
        <v>371.652164773263</v>
      </c>
      <c r="I46" s="5" t="s">
        <v>610</v>
      </c>
    </row>
    <row r="47" spans="1:9">
      <c r="A47" s="1" t="s">
        <v>85</v>
      </c>
      <c r="B47" s="2">
        <f t="shared" si="4"/>
        <v>167.5928975460802</v>
      </c>
      <c r="D47" s="8">
        <f t="shared" si="5"/>
        <v>2.4584455196363559E-2</v>
      </c>
      <c r="F47" s="2">
        <f t="shared" si="3"/>
        <v>4.120180080950357</v>
      </c>
      <c r="H47" s="2">
        <f>SUM(F$4:F47)</f>
        <v>375.77234485421337</v>
      </c>
      <c r="I47" s="5" t="s">
        <v>611</v>
      </c>
    </row>
    <row r="48" spans="1:9">
      <c r="A48" s="1" t="s">
        <v>86</v>
      </c>
      <c r="B48" s="2">
        <f t="shared" si="4"/>
        <v>175.97254242338423</v>
      </c>
      <c r="D48" s="8">
        <f t="shared" si="5"/>
        <v>2.2554546051709687E-2</v>
      </c>
      <c r="F48" s="2">
        <f t="shared" si="3"/>
        <v>3.9689808119246561</v>
      </c>
      <c r="H48" s="2">
        <f>SUM(F$4:F48)</f>
        <v>379.74132566613804</v>
      </c>
      <c r="I48" s="5" t="s">
        <v>612</v>
      </c>
    </row>
    <row r="49" spans="1:9">
      <c r="A49" s="1" t="s">
        <v>87</v>
      </c>
      <c r="B49" s="2">
        <f t="shared" si="4"/>
        <v>184.77116954455346</v>
      </c>
      <c r="D49" s="8">
        <f t="shared" si="5"/>
        <v>2.0692244084137328E-2</v>
      </c>
      <c r="F49" s="2">
        <f t="shared" si="3"/>
        <v>3.8233301399274215</v>
      </c>
      <c r="H49" s="2">
        <f>SUM(F$4:F49)</f>
        <v>383.56465580606545</v>
      </c>
      <c r="I49" s="5" t="s">
        <v>613</v>
      </c>
    </row>
    <row r="50" spans="1:9">
      <c r="A50" s="1" t="s">
        <v>88</v>
      </c>
      <c r="B50" s="2">
        <f t="shared" si="4"/>
        <v>194.00972802178114</v>
      </c>
      <c r="D50" s="8">
        <f t="shared" si="5"/>
        <v>1.8983710168933327E-2</v>
      </c>
      <c r="F50" s="2">
        <f t="shared" si="3"/>
        <v>3.6830244467190756</v>
      </c>
      <c r="H50" s="2">
        <f>SUM(F$4:F50)</f>
        <v>387.24768025278451</v>
      </c>
      <c r="I50" s="5" t="s">
        <v>614</v>
      </c>
    </row>
    <row r="51" spans="1:9">
      <c r="A51" s="1" t="s">
        <v>89</v>
      </c>
      <c r="B51" s="2">
        <f t="shared" si="4"/>
        <v>203.71021442287022</v>
      </c>
      <c r="D51" s="8">
        <f t="shared" si="5"/>
        <v>1.741624786140672E-2</v>
      </c>
      <c r="F51" s="2">
        <f t="shared" si="3"/>
        <v>3.5478675862890179</v>
      </c>
      <c r="H51" s="2">
        <f>SUM(F$4:F51)</f>
        <v>390.79554783907355</v>
      </c>
      <c r="I51" s="5" t="s">
        <v>615</v>
      </c>
    </row>
    <row r="52" spans="1:9">
      <c r="A52" s="1" t="s">
        <v>90</v>
      </c>
      <c r="B52" s="2">
        <f t="shared" si="4"/>
        <v>213.89572514401374</v>
      </c>
      <c r="D52" s="8">
        <f t="shared" si="5"/>
        <v>1.5978209047162129E-2</v>
      </c>
      <c r="F52" s="2">
        <f t="shared" si="3"/>
        <v>3.4176706106453842</v>
      </c>
      <c r="H52" s="2">
        <f>SUM(F$4:F52)</f>
        <v>394.21321844971891</v>
      </c>
      <c r="I52" s="5" t="s">
        <v>616</v>
      </c>
    </row>
    <row r="53" spans="1:9">
      <c r="A53" s="1" t="s">
        <v>91</v>
      </c>
      <c r="B53" s="2">
        <f t="shared" si="4"/>
        <v>224.59051140121443</v>
      </c>
      <c r="D53" s="8">
        <f t="shared" si="5"/>
        <v>1.4658907382717547E-2</v>
      </c>
      <c r="F53" s="2">
        <f t="shared" si="3"/>
        <v>3.2922515056675716</v>
      </c>
      <c r="H53" s="2">
        <f>SUM(F$4:F53)</f>
        <v>397.5054699553865</v>
      </c>
      <c r="I53" s="5" t="s">
        <v>617</v>
      </c>
    </row>
    <row r="54" spans="1:9">
      <c r="A54" s="1" t="s">
        <v>92</v>
      </c>
      <c r="B54" s="2">
        <f t="shared" si="4"/>
        <v>235.82003697127516</v>
      </c>
      <c r="D54" s="8">
        <f t="shared" si="5"/>
        <v>1.3448538883227107E-2</v>
      </c>
      <c r="F54" s="2">
        <f t="shared" si="3"/>
        <v>3.1714349366522478</v>
      </c>
      <c r="H54" s="2">
        <f>SUM(F$4:F54)</f>
        <v>400.67690489203875</v>
      </c>
      <c r="I54" s="5" t="s">
        <v>618</v>
      </c>
    </row>
    <row r="55" spans="1:9">
      <c r="A55" s="1" t="s">
        <v>93</v>
      </c>
      <c r="B55" s="2">
        <f t="shared" si="4"/>
        <v>247.61103881983894</v>
      </c>
      <c r="D55" s="8">
        <f t="shared" si="5"/>
        <v>1.2338109067180832E-2</v>
      </c>
      <c r="F55" s="2">
        <f t="shared" si="3"/>
        <v>3.0550520031971198</v>
      </c>
      <c r="H55" s="2">
        <f>SUM(F$4:F55)</f>
        <v>403.7319568952359</v>
      </c>
      <c r="I55" s="5" t="s">
        <v>619</v>
      </c>
    </row>
    <row r="56" spans="1:9">
      <c r="A56" s="1" t="s">
        <v>94</v>
      </c>
      <c r="B56" s="2">
        <f t="shared" si="4"/>
        <v>259.99159076083089</v>
      </c>
      <c r="D56" s="8">
        <f t="shared" si="5"/>
        <v>1.1319366116679662E-2</v>
      </c>
      <c r="F56" s="2">
        <f t="shared" si="3"/>
        <v>2.9429400030797943</v>
      </c>
      <c r="H56" s="2">
        <f>SUM(F$4:F56)</f>
        <v>406.67489689831569</v>
      </c>
      <c r="I56" s="5" t="s">
        <v>620</v>
      </c>
    </row>
    <row r="57" spans="1:9">
      <c r="A57" s="1" t="s">
        <v>95</v>
      </c>
      <c r="B57" s="2">
        <f t="shared" si="4"/>
        <v>272.99117029887242</v>
      </c>
      <c r="D57" s="8">
        <f t="shared" si="5"/>
        <v>1.0384739556586845E-2</v>
      </c>
      <c r="F57" s="2">
        <f t="shared" si="3"/>
        <v>2.8349422048016364</v>
      </c>
      <c r="H57" s="2">
        <f>SUM(F$4:F57)</f>
        <v>409.50983910311732</v>
      </c>
      <c r="I57" s="5" t="s">
        <v>621</v>
      </c>
    </row>
    <row r="58" spans="1:9">
      <c r="A58" s="1" t="s">
        <v>96</v>
      </c>
      <c r="B58" s="2">
        <f t="shared" si="4"/>
        <v>286.64072881381605</v>
      </c>
      <c r="D58" s="8">
        <f t="shared" si="5"/>
        <v>9.527283996868665E-3</v>
      </c>
      <c r="F58" s="2">
        <f t="shared" si="3"/>
        <v>2.7309076284786404</v>
      </c>
      <c r="H58" s="2">
        <f>SUM(F$4:F58)</f>
        <v>412.24074673159595</v>
      </c>
      <c r="I58" s="5" t="s">
        <v>622</v>
      </c>
    </row>
    <row r="59" spans="1:9">
      <c r="A59" s="1" t="s">
        <v>97</v>
      </c>
      <c r="B59" s="2">
        <f t="shared" si="4"/>
        <v>300.9727652545069</v>
      </c>
      <c r="D59" s="8">
        <f t="shared" si="5"/>
        <v>8.7406275200629952E-3</v>
      </c>
      <c r="F59" s="2">
        <f t="shared" si="3"/>
        <v>2.6306908347730027</v>
      </c>
      <c r="H59" s="2">
        <f>SUM(F$4:F59)</f>
        <v>414.87143756636897</v>
      </c>
      <c r="I59" s="5" t="s">
        <v>623</v>
      </c>
    </row>
    <row r="60" spans="1:9">
      <c r="A60" s="1" t="s">
        <v>98</v>
      </c>
      <c r="B60" s="2">
        <f t="shared" si="4"/>
        <v>316.02140351723227</v>
      </c>
      <c r="D60" s="8">
        <f t="shared" si="5"/>
        <v>8.0189243303330233E-3</v>
      </c>
      <c r="F60" s="2">
        <f t="shared" si="3"/>
        <v>2.534151721570324</v>
      </c>
      <c r="H60" s="2">
        <f>SUM(F$4:F60)</f>
        <v>417.40558928793928</v>
      </c>
      <c r="I60" s="5" t="s">
        <v>624</v>
      </c>
    </row>
    <row r="61" spans="1:9">
      <c r="A61" s="1" t="s">
        <v>99</v>
      </c>
      <c r="B61" s="2">
        <f t="shared" si="4"/>
        <v>331.82247369309391</v>
      </c>
      <c r="D61" s="8">
        <f t="shared" si="5"/>
        <v>7.3568113122321312E-3</v>
      </c>
      <c r="F61" s="2">
        <f t="shared" si="3"/>
        <v>2.4411553281182021</v>
      </c>
      <c r="H61" s="2">
        <f>SUM(F$4:F61)</f>
        <v>419.84674461605749</v>
      </c>
      <c r="I61" s="5" t="s">
        <v>625</v>
      </c>
    </row>
    <row r="62" spans="1:9">
      <c r="A62" s="1" t="s">
        <v>100</v>
      </c>
      <c r="B62" s="2">
        <f t="shared" si="4"/>
        <v>348.4135973777486</v>
      </c>
      <c r="D62" s="8">
        <f t="shared" si="5"/>
        <v>6.7493681763597527E-3</v>
      </c>
      <c r="F62" s="2">
        <f t="shared" si="3"/>
        <v>2.3515716463523963</v>
      </c>
      <c r="H62" s="2">
        <f>SUM(F$4:F62)</f>
        <v>422.19831626240989</v>
      </c>
      <c r="I62" s="5" t="s">
        <v>626</v>
      </c>
    </row>
    <row r="63" spans="1:9">
      <c r="A63" s="1" t="s">
        <v>101</v>
      </c>
      <c r="B63" s="2">
        <f t="shared" si="4"/>
        <v>365.83427724663602</v>
      </c>
      <c r="D63" s="8">
        <f t="shared" si="5"/>
        <v>6.1920808957428922E-3</v>
      </c>
      <c r="F63" s="2">
        <f t="shared" si="3"/>
        <v>2.2652754391468037</v>
      </c>
      <c r="H63" s="2">
        <f>SUM(F$4:F63)</f>
        <v>424.46359170155671</v>
      </c>
      <c r="I63" s="5" t="s">
        <v>627</v>
      </c>
    </row>
    <row r="64" spans="1:9">
      <c r="A64" s="1" t="s">
        <v>102</v>
      </c>
      <c r="B64" s="2">
        <f t="shared" si="4"/>
        <v>384.12599110896781</v>
      </c>
      <c r="D64" s="8">
        <f t="shared" si="5"/>
        <v>5.6808081612320111E-3</v>
      </c>
      <c r="F64" s="2">
        <f t="shared" si="3"/>
        <v>2.1821460652331592</v>
      </c>
      <c r="H64" s="2">
        <f>SUM(F$4:F64)</f>
        <v>426.64573776678986</v>
      </c>
      <c r="I64" s="5" t="s">
        <v>628</v>
      </c>
    </row>
    <row r="65" spans="1:9">
      <c r="A65" s="1" t="s">
        <v>103</v>
      </c>
      <c r="B65" s="2">
        <f t="shared" si="4"/>
        <v>403.33229066441623</v>
      </c>
      <c r="D65" s="8">
        <f t="shared" si="5"/>
        <v>5.2117506066348719E-3</v>
      </c>
      <c r="F65" s="2">
        <f t="shared" si="3"/>
        <v>2.1020673105457037</v>
      </c>
      <c r="H65" s="2">
        <f>SUM(F$4:F65)</f>
        <v>428.74780507733556</v>
      </c>
      <c r="I65" s="5" t="s">
        <v>629</v>
      </c>
    </row>
    <row r="66" spans="1:9">
      <c r="A66" s="1" t="s">
        <v>104</v>
      </c>
      <c r="B66" s="2">
        <f t="shared" si="4"/>
        <v>423.49890519763704</v>
      </c>
      <c r="D66" s="8">
        <f t="shared" si="5"/>
        <v>4.7814225748943773E-3</v>
      </c>
      <c r="F66" s="2">
        <f t="shared" si="3"/>
        <v>2.0249272257550355</v>
      </c>
      <c r="H66" s="2">
        <f>SUM(F$4:F66)</f>
        <v>430.77273230309061</v>
      </c>
      <c r="I66" s="5" t="s">
        <v>630</v>
      </c>
    </row>
    <row r="67" spans="1:9">
      <c r="A67" s="1" t="s">
        <v>105</v>
      </c>
      <c r="B67" s="2">
        <f t="shared" si="4"/>
        <v>444.67385045751894</v>
      </c>
      <c r="D67" s="8">
        <f t="shared" si="5"/>
        <v>4.3866262154994284E-3</v>
      </c>
      <c r="F67" s="2">
        <f t="shared" si="3"/>
        <v>1.9506179697640251</v>
      </c>
      <c r="H67" s="2">
        <f>SUM(F$4:F67)</f>
        <v>432.72335027285465</v>
      </c>
      <c r="I67" s="5" t="s">
        <v>631</v>
      </c>
    </row>
    <row r="68" spans="1:9">
      <c r="A68" s="1" t="s">
        <v>106</v>
      </c>
      <c r="B68" s="2">
        <f t="shared" si="4"/>
        <v>466.90754298039491</v>
      </c>
      <c r="D68" s="8">
        <f t="shared" si="5"/>
        <v>4.0244277206416771E-3</v>
      </c>
      <c r="F68" s="2">
        <f t="shared" si="3"/>
        <v>1.8790356589469965</v>
      </c>
      <c r="H68" s="2">
        <f>SUM(F$4:F68)</f>
        <v>434.60238593180162</v>
      </c>
      <c r="I68" s="5" t="s">
        <v>632</v>
      </c>
    </row>
    <row r="69" spans="1:9">
      <c r="A69" s="1" t="s">
        <v>107</v>
      </c>
      <c r="B69" s="2">
        <f t="shared" si="4"/>
        <v>490.25292012941469</v>
      </c>
      <c r="D69" s="8">
        <f t="shared" si="5"/>
        <v>3.6921355235244742E-3</v>
      </c>
      <c r="F69" s="2">
        <f t="shared" si="3"/>
        <v>1.8100802219214187</v>
      </c>
      <c r="H69" s="2">
        <f>SUM(F$4:F69)</f>
        <v>436.41246615372302</v>
      </c>
      <c r="I69" s="5" t="s">
        <v>633</v>
      </c>
    </row>
    <row r="70" spans="1:9">
      <c r="A70" s="1" t="s">
        <v>108</v>
      </c>
      <c r="B70" s="2">
        <f t="shared" si="4"/>
        <v>514.76556613588548</v>
      </c>
      <c r="D70" s="8">
        <f t="shared" si="5"/>
        <v>3.3872802968114438E-3</v>
      </c>
      <c r="F70" s="2">
        <f t="shared" si="3"/>
        <v>1.7436552596490731</v>
      </c>
      <c r="H70" s="2">
        <f>SUM(F$4:F70)</f>
        <v>438.15612141337209</v>
      </c>
      <c r="I70" s="5" t="s">
        <v>634</v>
      </c>
    </row>
    <row r="71" spans="1:9">
      <c r="A71" s="1" t="s">
        <v>109</v>
      </c>
      <c r="B71" s="2">
        <f t="shared" si="4"/>
        <v>540.50384444267979</v>
      </c>
      <c r="D71" s="8">
        <f t="shared" si="5"/>
        <v>3.1075966025793061E-3</v>
      </c>
      <c r="F71" s="2">
        <f t="shared" si="3"/>
        <v>1.6796679106711254</v>
      </c>
      <c r="H71" s="2">
        <f>SUM(F$4:F71)</f>
        <v>439.83578932404322</v>
      </c>
      <c r="I71" s="5" t="s">
        <v>635</v>
      </c>
    </row>
    <row r="72" spans="1:9">
      <c r="A72" s="1" t="s">
        <v>110</v>
      </c>
      <c r="B72" s="2">
        <f t="shared" si="4"/>
        <v>567.52903666481382</v>
      </c>
      <c r="D72" s="8">
        <f t="shared" si="5"/>
        <v>2.851006057412207E-3</v>
      </c>
      <c r="F72" s="2">
        <f t="shared" si="3"/>
        <v>1.6180287212886988</v>
      </c>
      <c r="H72" s="2">
        <f>SUM(F$4:F72)</f>
        <v>441.4538180453319</v>
      </c>
      <c r="I72" s="5" t="s">
        <v>636</v>
      </c>
    </row>
    <row r="73" spans="1:9">
      <c r="A73" s="1" t="s">
        <v>111</v>
      </c>
      <c r="B73" s="2">
        <f t="shared" si="4"/>
        <v>595.90548849805452</v>
      </c>
      <c r="D73" s="8">
        <f t="shared" si="5"/>
        <v>2.6156018875341347E-3</v>
      </c>
      <c r="F73" s="2">
        <f t="shared" si="3"/>
        <v>1.558651520507462</v>
      </c>
      <c r="H73" s="2">
        <f>SUM(F$4:F73)</f>
        <v>443.01246956583935</v>
      </c>
      <c r="I73" s="5" t="s">
        <v>637</v>
      </c>
    </row>
    <row r="74" spans="1:9">
      <c r="A74" s="1" t="s">
        <v>112</v>
      </c>
      <c r="B74" s="2">
        <f t="shared" si="4"/>
        <v>625.70076292295732</v>
      </c>
      <c r="D74" s="8">
        <f t="shared" si="5"/>
        <v>2.3996347592056279E-3</v>
      </c>
      <c r="F74" s="2">
        <f t="shared" si="3"/>
        <v>1.5014532995714085</v>
      </c>
      <c r="H74" s="2">
        <f>SUM(F$4:F74)</f>
        <v>444.51392286541073</v>
      </c>
      <c r="I74" s="5" t="s">
        <v>638</v>
      </c>
    </row>
    <row r="75" spans="1:9">
      <c r="A75" s="1" t="s">
        <v>113</v>
      </c>
      <c r="B75" s="2">
        <f t="shared" si="4"/>
        <v>656.98580106910526</v>
      </c>
      <c r="D75" s="8">
        <f t="shared" si="5"/>
        <v>2.2014997790877318E-3</v>
      </c>
      <c r="F75" s="2">
        <f t="shared" si="3"/>
        <v>1.4463540959174117</v>
      </c>
      <c r="H75" s="2">
        <f>SUM(F$4:F75)</f>
        <v>445.96027696132813</v>
      </c>
      <c r="I75" s="5" t="s">
        <v>639</v>
      </c>
    </row>
    <row r="76" spans="1:9">
      <c r="A76" s="1" t="s">
        <v>114</v>
      </c>
      <c r="B76" s="2">
        <f t="shared" si="4"/>
        <v>689.83509112256058</v>
      </c>
      <c r="D76" s="8">
        <f t="shared" si="5"/>
        <v>2.0197245679703961E-3</v>
      </c>
      <c r="F76" s="2">
        <f t="shared" si="3"/>
        <v>1.3932768813883325</v>
      </c>
      <c r="H76" s="2">
        <f>SUM(F$4:F76)</f>
        <v>447.35355384271645</v>
      </c>
      <c r="I76" s="5" t="s">
        <v>640</v>
      </c>
    </row>
    <row r="77" spans="1:9">
      <c r="A77" s="1" t="s">
        <v>115</v>
      </c>
      <c r="B77" s="2">
        <f t="shared" si="4"/>
        <v>724.32684567868864</v>
      </c>
      <c r="D77" s="8">
        <f t="shared" si="5"/>
        <v>1.8529583192388953E-3</v>
      </c>
      <c r="F77" s="2">
        <f t="shared" si="3"/>
        <v>1.3421474545483936</v>
      </c>
      <c r="H77" s="2">
        <f>SUM(F$4:F77)</f>
        <v>448.69570129726486</v>
      </c>
      <c r="I77" s="5" t="s">
        <v>641</v>
      </c>
    </row>
    <row r="78" spans="1:9">
      <c r="A78" s="1" t="s">
        <v>116</v>
      </c>
      <c r="B78" s="2">
        <f t="shared" si="4"/>
        <v>760.54318796262305</v>
      </c>
      <c r="D78" s="8">
        <f t="shared" si="5"/>
        <v>1.6999617607696286E-3</v>
      </c>
      <c r="F78" s="2">
        <f t="shared" si="3"/>
        <v>1.2928943369502872</v>
      </c>
      <c r="H78" s="2">
        <f>SUM(F$4:F78)</f>
        <v>449.98859563421513</v>
      </c>
      <c r="I78" s="5" t="s">
        <v>642</v>
      </c>
    </row>
    <row r="79" spans="1:9">
      <c r="A79" s="1" t="s">
        <v>117</v>
      </c>
      <c r="B79" s="2">
        <f t="shared" si="4"/>
        <v>798.57034736075423</v>
      </c>
      <c r="D79" s="8">
        <f t="shared" si="5"/>
        <v>1.5595979456602097E-3</v>
      </c>
      <c r="F79" s="2">
        <f t="shared" si="3"/>
        <v>1.2454486732089922</v>
      </c>
      <c r="H79" s="2">
        <f>SUM(F$4:F79)</f>
        <v>451.23404430742414</v>
      </c>
      <c r="I79" s="5" t="s">
        <v>643</v>
      </c>
    </row>
    <row r="80" spans="1:9">
      <c r="A80" s="1" t="s">
        <v>118</v>
      </c>
      <c r="B80" s="2">
        <f t="shared" si="4"/>
        <v>838.498864728792</v>
      </c>
      <c r="D80" s="8">
        <f t="shared" si="5"/>
        <v>1.4308238033579905E-3</v>
      </c>
      <c r="F80" s="2">
        <f t="shared" ref="F80:F143" si="6">B80*D80</f>
        <v>1.1997441347426074</v>
      </c>
      <c r="H80" s="2">
        <f>SUM(F$4:F80)</f>
        <v>452.43378844216676</v>
      </c>
      <c r="I80" s="5" t="s">
        <v>644</v>
      </c>
    </row>
    <row r="81" spans="1:9">
      <c r="A81" s="1" t="s">
        <v>119</v>
      </c>
      <c r="B81" s="2">
        <f t="shared" ref="B81:B144" si="7">B80*(1+5%)</f>
        <v>880.42380796523162</v>
      </c>
      <c r="D81" s="8">
        <f t="shared" ref="D81:D144" si="8">D80/(1+9%)</f>
        <v>1.312682388401826E-3</v>
      </c>
      <c r="F81" s="2">
        <f t="shared" si="6"/>
        <v>1.1557168270456308</v>
      </c>
      <c r="H81" s="2">
        <f>SUM(F$4:F81)</f>
        <v>453.5895052692124</v>
      </c>
      <c r="I81" s="5" t="s">
        <v>645</v>
      </c>
    </row>
    <row r="82" spans="1:9">
      <c r="A82" s="1" t="s">
        <v>120</v>
      </c>
      <c r="B82" s="2">
        <f t="shared" si="7"/>
        <v>924.44499836349326</v>
      </c>
      <c r="D82" s="8">
        <f t="shared" si="8"/>
        <v>1.204295769175987E-3</v>
      </c>
      <c r="F82" s="2">
        <f t="shared" si="6"/>
        <v>1.1133052003650572</v>
      </c>
      <c r="H82" s="2">
        <f>SUM(F$4:F82)</f>
        <v>454.70281046957746</v>
      </c>
      <c r="I82" s="5" t="s">
        <v>646</v>
      </c>
    </row>
    <row r="83" spans="1:9">
      <c r="A83" s="1" t="s">
        <v>121</v>
      </c>
      <c r="B83" s="2">
        <f t="shared" si="7"/>
        <v>970.66724828166798</v>
      </c>
      <c r="D83" s="8">
        <f t="shared" si="8"/>
        <v>1.1048585038311806E-3</v>
      </c>
      <c r="F83" s="2">
        <f t="shared" si="6"/>
        <v>1.0724499636544127</v>
      </c>
      <c r="H83" s="2">
        <f>SUM(F$4:F83)</f>
        <v>455.77526043323189</v>
      </c>
      <c r="I83" s="5" t="s">
        <v>647</v>
      </c>
    </row>
    <row r="84" spans="1:9">
      <c r="A84" s="1" t="s">
        <v>122</v>
      </c>
      <c r="B84" s="17">
        <f t="shared" si="7"/>
        <v>1019.2006106957514</v>
      </c>
      <c r="D84" s="8">
        <f t="shared" si="8"/>
        <v>1.0136316548909913E-3</v>
      </c>
      <c r="F84" s="2">
        <f t="shared" si="6"/>
        <v>1.0330940016854435</v>
      </c>
      <c r="H84" s="2">
        <f>SUM(F$4:F84)</f>
        <v>456.80835443491736</v>
      </c>
      <c r="I84" s="5" t="s">
        <v>648</v>
      </c>
    </row>
    <row r="85" spans="1:9">
      <c r="A85" s="1" t="s">
        <v>123</v>
      </c>
      <c r="B85" s="17">
        <f t="shared" si="7"/>
        <v>1070.1606412305389</v>
      </c>
      <c r="D85" s="8">
        <f t="shared" si="8"/>
        <v>9.2993729806512958E-4</v>
      </c>
      <c r="F85" s="2">
        <f t="shared" si="6"/>
        <v>0.99518229520157386</v>
      </c>
      <c r="H85" s="2">
        <f>SUM(F$4:F85)</f>
        <v>457.80353673011894</v>
      </c>
      <c r="I85" s="5" t="s">
        <v>649</v>
      </c>
    </row>
    <row r="86" spans="1:9">
      <c r="A86" s="1" t="s">
        <v>124</v>
      </c>
      <c r="B86" s="17">
        <f t="shared" si="7"/>
        <v>1123.6686732920659</v>
      </c>
      <c r="D86" s="8">
        <f t="shared" si="8"/>
        <v>8.5315348446342158E-4</v>
      </c>
      <c r="F86" s="2">
        <f t="shared" si="6"/>
        <v>0.95866184400151611</v>
      </c>
      <c r="H86" s="2">
        <f>SUM(F$4:F86)</f>
        <v>458.76219857412048</v>
      </c>
      <c r="I86" s="5" t="s">
        <v>650</v>
      </c>
    </row>
    <row r="87" spans="1:9">
      <c r="A87" s="1" t="s">
        <v>125</v>
      </c>
      <c r="B87" s="17">
        <f t="shared" si="7"/>
        <v>1179.8521069566693</v>
      </c>
      <c r="D87" s="8">
        <f t="shared" si="8"/>
        <v>7.8270961877378116E-4</v>
      </c>
      <c r="F87" s="2">
        <f t="shared" si="6"/>
        <v>0.92348159284549713</v>
      </c>
      <c r="H87" s="2">
        <f>SUM(F$4:F87)</f>
        <v>459.68568016696599</v>
      </c>
      <c r="I87" s="5" t="s">
        <v>651</v>
      </c>
    </row>
    <row r="88" spans="1:9">
      <c r="A88" s="1" t="s">
        <v>126</v>
      </c>
      <c r="B88" s="17">
        <f t="shared" si="7"/>
        <v>1238.8447123045028</v>
      </c>
      <c r="D88" s="8">
        <f t="shared" si="8"/>
        <v>7.180822190585148E-4</v>
      </c>
      <c r="F88" s="2">
        <f t="shared" si="6"/>
        <v>0.88959236008052467</v>
      </c>
      <c r="H88" s="2">
        <f>SUM(F$4:F88)</f>
        <v>460.57527252704654</v>
      </c>
      <c r="I88" s="5" t="s">
        <v>652</v>
      </c>
    </row>
    <row r="89" spans="1:9">
      <c r="A89" s="1" t="s">
        <v>127</v>
      </c>
      <c r="B89" s="17">
        <f t="shared" si="7"/>
        <v>1300.7869479197279</v>
      </c>
      <c r="D89" s="8">
        <f t="shared" si="8"/>
        <v>6.5879102665918781E-4</v>
      </c>
      <c r="F89" s="2">
        <f t="shared" si="6"/>
        <v>0.85694676888490906</v>
      </c>
      <c r="H89" s="2">
        <f>SUM(F$4:F89)</f>
        <v>461.43221929593142</v>
      </c>
      <c r="I89" s="5" t="s">
        <v>653</v>
      </c>
    </row>
    <row r="90" spans="1:9">
      <c r="A90" s="1" t="s">
        <v>128</v>
      </c>
      <c r="B90" s="17">
        <f t="shared" si="7"/>
        <v>1365.8262953157143</v>
      </c>
      <c r="D90" s="8">
        <f t="shared" si="8"/>
        <v>6.0439543730200708E-4</v>
      </c>
      <c r="F90" s="2">
        <f t="shared" si="6"/>
        <v>0.82549918103592146</v>
      </c>
      <c r="H90" s="2">
        <f>SUM(F$4:F90)</f>
        <v>462.25771847696734</v>
      </c>
      <c r="I90" s="5" t="s">
        <v>654</v>
      </c>
    </row>
    <row r="91" spans="1:9">
      <c r="A91" s="1" t="s">
        <v>129</v>
      </c>
      <c r="B91" s="17">
        <f t="shared" si="7"/>
        <v>1434.1176100815001</v>
      </c>
      <c r="D91" s="8">
        <f t="shared" si="8"/>
        <v>5.5449122688257528E-4</v>
      </c>
      <c r="F91" s="2">
        <f t="shared" si="6"/>
        <v>0.79520563310799763</v>
      </c>
      <c r="H91" s="2">
        <f>SUM(F$4:F91)</f>
        <v>463.05292411007537</v>
      </c>
      <c r="I91" s="5" t="s">
        <v>655</v>
      </c>
    </row>
    <row r="92" spans="1:9">
      <c r="A92" s="1" t="s">
        <v>130</v>
      </c>
      <c r="B92" s="17">
        <f t="shared" si="7"/>
        <v>1505.8234905855752</v>
      </c>
      <c r="D92" s="8">
        <f t="shared" si="8"/>
        <v>5.0870754759869291E-4</v>
      </c>
      <c r="F92" s="2">
        <f t="shared" si="6"/>
        <v>0.76602377501229135</v>
      </c>
      <c r="H92" s="2">
        <f>SUM(F$4:F92)</f>
        <v>463.81894788508765</v>
      </c>
      <c r="I92" s="5" t="s">
        <v>656</v>
      </c>
    </row>
    <row r="93" spans="1:9">
      <c r="A93" s="1" t="s">
        <v>131</v>
      </c>
      <c r="B93" s="17">
        <f t="shared" si="7"/>
        <v>1581.114665114854</v>
      </c>
      <c r="D93" s="8">
        <f t="shared" si="8"/>
        <v>4.6670417210889254E-4</v>
      </c>
      <c r="F93" s="2">
        <f t="shared" si="6"/>
        <v>0.73791281079165683</v>
      </c>
      <c r="H93" s="2">
        <f>SUM(F$4:F93)</f>
        <v>464.55686069587932</v>
      </c>
      <c r="I93" s="5" t="s">
        <v>657</v>
      </c>
    </row>
    <row r="94" spans="1:9">
      <c r="A94" s="1" t="s">
        <v>132</v>
      </c>
      <c r="B94" s="17">
        <f t="shared" si="7"/>
        <v>1660.1703983705968</v>
      </c>
      <c r="D94" s="8">
        <f t="shared" si="8"/>
        <v>4.2816896523751604E-4</v>
      </c>
      <c r="F94" s="2">
        <f t="shared" si="6"/>
        <v>0.7108334415882932</v>
      </c>
      <c r="H94" s="2">
        <f>SUM(F$4:F94)</f>
        <v>465.26769413746763</v>
      </c>
      <c r="I94" s="5" t="s">
        <v>658</v>
      </c>
    </row>
    <row r="95" spans="1:9">
      <c r="A95" s="1" t="s">
        <v>133</v>
      </c>
      <c r="B95" s="17">
        <f t="shared" si="7"/>
        <v>1743.1789182891266</v>
      </c>
      <c r="D95" s="8">
        <f t="shared" si="8"/>
        <v>3.9281556443808809E-4</v>
      </c>
      <c r="F95" s="2">
        <f t="shared" si="6"/>
        <v>0.68474781070431912</v>
      </c>
      <c r="H95" s="2">
        <f>SUM(F$4:F95)</f>
        <v>465.95244194817195</v>
      </c>
      <c r="I95" s="5" t="s">
        <v>659</v>
      </c>
    </row>
    <row r="96" spans="1:9">
      <c r="A96" s="1" t="s">
        <v>134</v>
      </c>
      <c r="B96" s="17">
        <f t="shared" si="7"/>
        <v>1830.337864203583</v>
      </c>
      <c r="D96" s="8">
        <f t="shared" si="8"/>
        <v>3.6038125177806243E-4</v>
      </c>
      <c r="F96" s="2">
        <f t="shared" si="6"/>
        <v>0.6596194506784725</v>
      </c>
      <c r="H96" s="2">
        <f>SUM(F$4:F96)</f>
        <v>466.61206139885041</v>
      </c>
      <c r="I96" s="5" t="s">
        <v>660</v>
      </c>
    </row>
    <row r="97" spans="1:9">
      <c r="A97" s="1" t="s">
        <v>135</v>
      </c>
      <c r="B97" s="17">
        <f t="shared" si="7"/>
        <v>1921.8547574137622</v>
      </c>
      <c r="D97" s="8">
        <f t="shared" si="8"/>
        <v>3.306250016312499E-4</v>
      </c>
      <c r="F97" s="2">
        <f t="shared" si="6"/>
        <v>0.6354132323049505</v>
      </c>
      <c r="H97" s="2">
        <f>SUM(F$4:F97)</f>
        <v>467.24747463115534</v>
      </c>
      <c r="I97" s="5" t="s">
        <v>661</v>
      </c>
    </row>
    <row r="98" spans="1:9">
      <c r="A98" s="1" t="s">
        <v>136</v>
      </c>
      <c r="B98" s="17">
        <f t="shared" si="7"/>
        <v>2017.9474952844503</v>
      </c>
      <c r="D98" s="8">
        <f t="shared" si="8"/>
        <v>3.0332568956995399E-4</v>
      </c>
      <c r="F98" s="2">
        <f t="shared" si="6"/>
        <v>0.61209531552311736</v>
      </c>
      <c r="H98" s="2">
        <f>SUM(F$4:F98)</f>
        <v>467.85956994667845</v>
      </c>
      <c r="I98" s="5" t="s">
        <v>662</v>
      </c>
    </row>
    <row r="99" spans="1:9">
      <c r="A99" s="1" t="s">
        <v>137</v>
      </c>
      <c r="B99" s="17">
        <f t="shared" si="7"/>
        <v>2118.8448700486729</v>
      </c>
      <c r="D99" s="8">
        <f t="shared" si="8"/>
        <v>2.7828044914674676E-4</v>
      </c>
      <c r="F99" s="2">
        <f t="shared" si="6"/>
        <v>0.58963310210942499</v>
      </c>
      <c r="H99" s="2">
        <f>SUM(F$4:F99)</f>
        <v>468.44920304878787</v>
      </c>
      <c r="I99" s="5" t="s">
        <v>663</v>
      </c>
    </row>
    <row r="100" spans="1:9">
      <c r="A100" s="1" t="s">
        <v>138</v>
      </c>
      <c r="B100" s="17">
        <f t="shared" si="7"/>
        <v>2224.7871135511068</v>
      </c>
      <c r="D100" s="8">
        <f t="shared" si="8"/>
        <v>2.5530316435481352E-4</v>
      </c>
      <c r="F100" s="2">
        <f t="shared" si="6"/>
        <v>0.56799519010540944</v>
      </c>
      <c r="H100" s="2">
        <f>SUM(F$4:F100)</f>
        <v>469.01719823889329</v>
      </c>
      <c r="I100" s="5" t="s">
        <v>664</v>
      </c>
    </row>
    <row r="101" spans="1:9">
      <c r="A101" s="1" t="s">
        <v>139</v>
      </c>
      <c r="B101" s="17">
        <f t="shared" si="7"/>
        <v>2336.0264692286623</v>
      </c>
      <c r="D101" s="8">
        <f t="shared" si="8"/>
        <v>2.342230865640491E-4</v>
      </c>
      <c r="F101" s="2">
        <f t="shared" si="6"/>
        <v>0.54715132991805493</v>
      </c>
      <c r="H101" s="2">
        <f>SUM(F$4:F101)</f>
        <v>469.56434956881134</v>
      </c>
      <c r="I101" s="5" t="s">
        <v>665</v>
      </c>
    </row>
    <row r="102" spans="1:9">
      <c r="A102" s="1" t="s">
        <v>140</v>
      </c>
      <c r="B102" s="17">
        <f t="shared" si="7"/>
        <v>2452.8277926900955</v>
      </c>
      <c r="D102" s="8">
        <f t="shared" si="8"/>
        <v>2.1488356565509091E-4</v>
      </c>
      <c r="F102" s="2">
        <f t="shared" si="6"/>
        <v>0.52707238203115381</v>
      </c>
      <c r="H102" s="2">
        <f>SUM(F$4:F102)</f>
        <v>470.09142195084252</v>
      </c>
      <c r="I102" s="5" t="s">
        <v>666</v>
      </c>
    </row>
    <row r="103" spans="1:9">
      <c r="A103" s="1" t="s">
        <v>141</v>
      </c>
      <c r="B103" s="17">
        <f t="shared" si="7"/>
        <v>2575.4691823246003</v>
      </c>
      <c r="D103" s="8">
        <f t="shared" si="8"/>
        <v>1.9714088592210174E-4</v>
      </c>
      <c r="F103" s="2">
        <f t="shared" si="6"/>
        <v>0.50773027626854261</v>
      </c>
      <c r="H103" s="2">
        <f>SUM(F$4:F103)</f>
        <v>470.59915222711106</v>
      </c>
      <c r="I103" s="5" t="s">
        <v>667</v>
      </c>
    </row>
    <row r="104" spans="1:9">
      <c r="A104" s="1" t="s">
        <v>142</v>
      </c>
      <c r="B104" s="17">
        <f t="shared" si="7"/>
        <v>2704.2426414408305</v>
      </c>
      <c r="D104" s="8">
        <f t="shared" si="8"/>
        <v>1.8086319809367131E-4</v>
      </c>
      <c r="F104" s="2">
        <f t="shared" si="6"/>
        <v>0.48909797255226589</v>
      </c>
      <c r="H104" s="2">
        <f>SUM(F$4:F104)</f>
        <v>471.08825019966332</v>
      </c>
      <c r="I104" s="5" t="s">
        <v>668</v>
      </c>
    </row>
    <row r="105" spans="1:9">
      <c r="A105" s="1" t="s">
        <v>143</v>
      </c>
      <c r="B105" s="17">
        <f t="shared" si="7"/>
        <v>2839.4547735128722</v>
      </c>
      <c r="D105" s="8">
        <f t="shared" si="8"/>
        <v>1.6592953953547827E-4</v>
      </c>
      <c r="F105" s="2">
        <f t="shared" si="6"/>
        <v>0.4711494231008066</v>
      </c>
      <c r="H105" s="2">
        <f>SUM(F$4:F105)</f>
        <v>471.55939962276415</v>
      </c>
      <c r="I105" s="5" t="s">
        <v>669</v>
      </c>
    </row>
    <row r="106" spans="1:9">
      <c r="A106" s="1" t="s">
        <v>144</v>
      </c>
      <c r="B106" s="17">
        <f t="shared" si="7"/>
        <v>2981.4275121885157</v>
      </c>
      <c r="D106" s="8">
        <f t="shared" si="8"/>
        <v>1.5222893535364978E-4</v>
      </c>
      <c r="F106" s="2">
        <f t="shared" si="6"/>
        <v>0.45385953601453843</v>
      </c>
      <c r="H106" s="2">
        <f>SUM(F$4:F106)</f>
        <v>472.01325915877868</v>
      </c>
      <c r="I106" s="5" t="s">
        <v>670</v>
      </c>
    </row>
    <row r="107" spans="1:9">
      <c r="A107" s="1" t="s">
        <v>145</v>
      </c>
      <c r="B107" s="17">
        <f t="shared" si="7"/>
        <v>3130.4988877979417</v>
      </c>
      <c r="D107" s="8">
        <f t="shared" si="8"/>
        <v>1.3965957371894473E-4</v>
      </c>
      <c r="F107" s="2">
        <f t="shared" si="6"/>
        <v>0.43720414019749115</v>
      </c>
      <c r="H107" s="2">
        <f>SUM(F$4:F107)</f>
        <v>472.45046329897616</v>
      </c>
      <c r="I107" s="5" t="s">
        <v>671</v>
      </c>
    </row>
    <row r="108" spans="1:9">
      <c r="A108" s="1" t="s">
        <v>146</v>
      </c>
      <c r="B108" s="17">
        <f t="shared" si="7"/>
        <v>3287.0238321878392</v>
      </c>
      <c r="D108" s="8">
        <f t="shared" si="8"/>
        <v>1.2812804928343552E-4</v>
      </c>
      <c r="F108" s="2">
        <f t="shared" si="6"/>
        <v>0.42115995156639052</v>
      </c>
      <c r="H108" s="2">
        <f>SUM(F$4:F108)</f>
        <v>472.87162325054254</v>
      </c>
      <c r="I108" s="5" t="s">
        <v>672</v>
      </c>
    </row>
    <row r="109" spans="1:9">
      <c r="A109" s="1" t="s">
        <v>147</v>
      </c>
      <c r="B109" s="17">
        <f t="shared" si="7"/>
        <v>3451.3750237972313</v>
      </c>
      <c r="D109" s="8">
        <f t="shared" si="8"/>
        <v>1.1754866906737203E-4</v>
      </c>
      <c r="F109" s="2">
        <f t="shared" si="6"/>
        <v>0.40570454049973398</v>
      </c>
      <c r="H109" s="2">
        <f>SUM(F$4:F109)</f>
        <v>473.2773277910423</v>
      </c>
      <c r="I109" s="5" t="s">
        <v>673</v>
      </c>
    </row>
    <row r="110" spans="1:9">
      <c r="A110" s="1" t="s">
        <v>148</v>
      </c>
      <c r="B110" s="17">
        <f t="shared" si="7"/>
        <v>3623.9437749870931</v>
      </c>
      <c r="D110" s="8">
        <f t="shared" si="8"/>
        <v>1.0784281565813946E-4</v>
      </c>
      <c r="F110" s="2">
        <f t="shared" si="6"/>
        <v>0.3908163004813951</v>
      </c>
      <c r="H110" s="2">
        <f>SUM(F$4:F110)</f>
        <v>473.66814409152369</v>
      </c>
      <c r="I110" s="5" t="s">
        <v>674</v>
      </c>
    </row>
    <row r="111" spans="1:9">
      <c r="A111" s="1" t="s">
        <v>149</v>
      </c>
      <c r="B111" s="17">
        <f t="shared" si="7"/>
        <v>3805.1409637364477</v>
      </c>
      <c r="D111" s="8">
        <f t="shared" si="8"/>
        <v>9.8938362989118764E-5</v>
      </c>
      <c r="F111" s="2">
        <f t="shared" si="6"/>
        <v>0.37647441789492186</v>
      </c>
      <c r="H111" s="2">
        <f>SUM(F$4:F111)</f>
        <v>474.04461850941863</v>
      </c>
      <c r="I111" s="5" t="s">
        <v>675</v>
      </c>
    </row>
    <row r="112" spans="1:9">
      <c r="A112" s="1" t="s">
        <v>150</v>
      </c>
      <c r="B112" s="17">
        <f t="shared" si="7"/>
        <v>3995.3980119232701</v>
      </c>
      <c r="D112" s="8">
        <f t="shared" si="8"/>
        <v>9.0769140356989687E-5</v>
      </c>
      <c r="F112" s="2">
        <f t="shared" si="6"/>
        <v>0.36265884292630085</v>
      </c>
      <c r="H112" s="2">
        <f>SUM(F$4:F112)</f>
        <v>474.40727735234492</v>
      </c>
      <c r="I112" s="5" t="s">
        <v>676</v>
      </c>
    </row>
    <row r="113" spans="1:9">
      <c r="A113" s="1" t="s">
        <v>151</v>
      </c>
      <c r="B113" s="17">
        <f t="shared" si="7"/>
        <v>4195.1679125194341</v>
      </c>
      <c r="D113" s="8">
        <f t="shared" si="8"/>
        <v>8.3274440694485952E-5</v>
      </c>
      <c r="F113" s="2">
        <f t="shared" si="6"/>
        <v>0.34935026153451004</v>
      </c>
      <c r="H113" s="2">
        <f>SUM(F$4:F113)</f>
        <v>474.7566276138794</v>
      </c>
      <c r="I113" s="5" t="s">
        <v>677</v>
      </c>
    </row>
    <row r="114" spans="1:9">
      <c r="A114" s="1" t="s">
        <v>152</v>
      </c>
      <c r="B114" s="17">
        <f t="shared" si="7"/>
        <v>4404.9263081454064</v>
      </c>
      <c r="D114" s="8">
        <f t="shared" si="8"/>
        <v>7.6398569444482517E-5</v>
      </c>
      <c r="F114" s="2">
        <f t="shared" si="6"/>
        <v>0.33653006845067485</v>
      </c>
      <c r="H114" s="2">
        <f>SUM(F$4:F114)</f>
        <v>475.09315768233006</v>
      </c>
      <c r="I114" s="5" t="s">
        <v>678</v>
      </c>
    </row>
    <row r="115" spans="1:9">
      <c r="A115" s="1" t="s">
        <v>153</v>
      </c>
      <c r="B115" s="17">
        <f t="shared" si="7"/>
        <v>4625.1726235526767</v>
      </c>
      <c r="D115" s="8">
        <f t="shared" si="8"/>
        <v>7.0090430683011472E-5</v>
      </c>
      <c r="F115" s="2">
        <f t="shared" si="6"/>
        <v>0.3241803411680812</v>
      </c>
      <c r="H115" s="2">
        <f>SUM(F$4:F115)</f>
        <v>475.41733802349813</v>
      </c>
      <c r="I115" s="5" t="s">
        <v>679</v>
      </c>
    </row>
    <row r="116" spans="1:9">
      <c r="A116" s="1" t="s">
        <v>154</v>
      </c>
      <c r="B116" s="17">
        <f t="shared" si="7"/>
        <v>4856.4312547303107</v>
      </c>
      <c r="D116" s="8">
        <f t="shared" si="8"/>
        <v>6.4303147415606846E-5</v>
      </c>
      <c r="F116" s="2">
        <f t="shared" si="6"/>
        <v>0.31228381488668366</v>
      </c>
      <c r="H116" s="2">
        <f>SUM(F$4:F116)</f>
        <v>475.72962183838484</v>
      </c>
      <c r="I116" s="5" t="s">
        <v>680</v>
      </c>
    </row>
    <row r="117" spans="1:9">
      <c r="A117" s="1" t="s">
        <v>155</v>
      </c>
      <c r="B117" s="17">
        <f t="shared" si="7"/>
        <v>5099.2528174668269</v>
      </c>
      <c r="D117" s="8">
        <f t="shared" si="8"/>
        <v>5.8993713225327379E-5</v>
      </c>
      <c r="F117" s="2">
        <f t="shared" si="6"/>
        <v>0.30082385837708064</v>
      </c>
      <c r="H117" s="2">
        <f>SUM(F$4:F117)</f>
        <v>476.03044569676194</v>
      </c>
      <c r="I117" s="5" t="s">
        <v>681</v>
      </c>
    </row>
    <row r="118" spans="1:9">
      <c r="A118" s="1" t="s">
        <v>156</v>
      </c>
      <c r="B118" s="17">
        <f t="shared" si="7"/>
        <v>5354.215458340168</v>
      </c>
      <c r="D118" s="8">
        <f t="shared" si="8"/>
        <v>5.4122672683786584E-5</v>
      </c>
      <c r="F118" s="2">
        <f t="shared" si="6"/>
        <v>0.28978445073021525</v>
      </c>
      <c r="H118" s="2">
        <f>SUM(F$4:F118)</f>
        <v>476.32023014749217</v>
      </c>
      <c r="I118" s="5" t="s">
        <v>682</v>
      </c>
    </row>
    <row r="119" spans="1:9">
      <c r="A119" s="1" t="s">
        <v>157</v>
      </c>
      <c r="B119" s="17">
        <f t="shared" si="7"/>
        <v>5621.9262312571764</v>
      </c>
      <c r="D119" s="8">
        <f t="shared" si="8"/>
        <v>4.9653828150262919E-5</v>
      </c>
      <c r="F119" s="2">
        <f t="shared" si="6"/>
        <v>0.2791501589602991</v>
      </c>
      <c r="H119" s="2">
        <f>SUM(F$4:F119)</f>
        <v>476.59938030645247</v>
      </c>
      <c r="I119" s="5" t="s">
        <v>683</v>
      </c>
    </row>
    <row r="120" spans="1:9">
      <c r="A120" s="1" t="s">
        <v>158</v>
      </c>
      <c r="B120" s="17">
        <f t="shared" si="7"/>
        <v>5903.0225428200356</v>
      </c>
      <c r="D120" s="8">
        <f t="shared" si="8"/>
        <v>4.5553970780057723E-5</v>
      </c>
      <c r="F120" s="2">
        <f t="shared" si="6"/>
        <v>0.26890611642964596</v>
      </c>
      <c r="H120" s="2">
        <f>SUM(F$4:F120)</f>
        <v>476.86828642288214</v>
      </c>
      <c r="I120" s="5" t="s">
        <v>684</v>
      </c>
    </row>
    <row r="121" spans="1:9">
      <c r="A121" s="1" t="s">
        <v>159</v>
      </c>
      <c r="B121" s="17">
        <f t="shared" si="7"/>
        <v>6198.1736699610374</v>
      </c>
      <c r="D121" s="8">
        <f t="shared" si="8"/>
        <v>4.1792633743172221E-5</v>
      </c>
      <c r="F121" s="2">
        <f t="shared" si="6"/>
        <v>0.25903800206525524</v>
      </c>
      <c r="H121" s="2">
        <f>SUM(F$4:F121)</f>
        <v>477.1273244249474</v>
      </c>
      <c r="I121" s="5" t="s">
        <v>685</v>
      </c>
    </row>
    <row r="122" spans="1:9">
      <c r="A122" s="1" t="s">
        <v>160</v>
      </c>
      <c r="B122" s="17">
        <f t="shared" si="7"/>
        <v>6508.08235345909</v>
      </c>
      <c r="D122" s="8">
        <f t="shared" si="8"/>
        <v>3.8341865819424055E-5</v>
      </c>
      <c r="F122" s="2">
        <f t="shared" si="6"/>
        <v>0.24953202033808994</v>
      </c>
      <c r="H122" s="2">
        <f>SUM(F$4:F122)</f>
        <v>477.37685644528551</v>
      </c>
      <c r="I122" s="5" t="s">
        <v>686</v>
      </c>
    </row>
    <row r="123" spans="1:9">
      <c r="A123" s="1" t="s">
        <v>161</v>
      </c>
      <c r="B123" s="17">
        <f t="shared" si="7"/>
        <v>6833.4864711320452</v>
      </c>
      <c r="D123" s="8">
        <f t="shared" si="8"/>
        <v>3.5176023687545005E-5</v>
      </c>
      <c r="F123" s="2">
        <f t="shared" si="6"/>
        <v>0.24037488197705914</v>
      </c>
      <c r="H123" s="2">
        <f>SUM(F$4:F123)</f>
        <v>477.61723132726257</v>
      </c>
      <c r="I123" s="5" t="s">
        <v>687</v>
      </c>
    </row>
    <row r="124" spans="1:9">
      <c r="A124" s="1" t="s">
        <v>162</v>
      </c>
      <c r="B124" s="17">
        <f t="shared" si="7"/>
        <v>7175.1607946886479</v>
      </c>
      <c r="D124" s="8">
        <f t="shared" si="8"/>
        <v>3.2271581364720182E-5</v>
      </c>
      <c r="F124" s="2">
        <f t="shared" si="6"/>
        <v>0.23155378539074503</v>
      </c>
      <c r="H124" s="2">
        <f>SUM(F$4:F124)</f>
        <v>477.84878511265333</v>
      </c>
      <c r="I124" s="5" t="s">
        <v>688</v>
      </c>
    </row>
    <row r="125" spans="1:9">
      <c r="A125" s="1" t="s">
        <v>163</v>
      </c>
      <c r="B125" s="17">
        <f t="shared" si="7"/>
        <v>7533.9188344230806</v>
      </c>
      <c r="D125" s="8">
        <f t="shared" si="8"/>
        <v>2.9606955380477228E-5</v>
      </c>
      <c r="F125" s="2">
        <f t="shared" si="6"/>
        <v>0.22305639877090117</v>
      </c>
      <c r="H125" s="2">
        <f>SUM(F$4:F125)</f>
        <v>478.07184151142422</v>
      </c>
      <c r="I125" s="5" t="s">
        <v>689</v>
      </c>
    </row>
    <row r="126" spans="1:9">
      <c r="A126" s="1" t="s">
        <v>164</v>
      </c>
      <c r="B126" s="17">
        <f t="shared" si="7"/>
        <v>7910.6147761442353</v>
      </c>
      <c r="D126" s="8">
        <f t="shared" si="8"/>
        <v>2.7162344385758922E-5</v>
      </c>
      <c r="F126" s="2">
        <f t="shared" si="6"/>
        <v>0.21487084285270294</v>
      </c>
      <c r="H126" s="2">
        <f>SUM(F$4:F126)</f>
        <v>478.28671235427691</v>
      </c>
      <c r="I126" s="5" t="s">
        <v>690</v>
      </c>
    </row>
    <row r="127" spans="1:9">
      <c r="A127" s="1" t="s">
        <v>165</v>
      </c>
      <c r="B127" s="17">
        <f t="shared" si="7"/>
        <v>8306.1455149514477</v>
      </c>
      <c r="D127" s="8">
        <f t="shared" si="8"/>
        <v>2.4919582005283414E-5</v>
      </c>
      <c r="F127" s="2">
        <f t="shared" si="6"/>
        <v>0.20698567430764964</v>
      </c>
      <c r="H127" s="2">
        <f>SUM(F$4:F127)</f>
        <v>478.49369802858456</v>
      </c>
      <c r="I127" s="5" t="s">
        <v>691</v>
      </c>
    </row>
    <row r="128" spans="1:9">
      <c r="A128" s="1" t="s">
        <v>166</v>
      </c>
      <c r="B128" s="17">
        <f t="shared" si="7"/>
        <v>8721.4527906990206</v>
      </c>
      <c r="D128" s="8">
        <f t="shared" si="8"/>
        <v>2.2862001839709553E-5</v>
      </c>
      <c r="F128" s="2">
        <f t="shared" si="6"/>
        <v>0.19938986974590103</v>
      </c>
      <c r="H128" s="2">
        <f>SUM(F$4:F128)</f>
        <v>478.69308789833048</v>
      </c>
      <c r="I128" s="5" t="s">
        <v>692</v>
      </c>
    </row>
    <row r="129" spans="1:9">
      <c r="A129" s="1" t="s">
        <v>167</v>
      </c>
      <c r="B129" s="17">
        <f t="shared" si="7"/>
        <v>9157.5254302339727</v>
      </c>
      <c r="D129" s="8">
        <f t="shared" si="8"/>
        <v>2.0974313614412434E-5</v>
      </c>
      <c r="F129" s="2">
        <f t="shared" si="6"/>
        <v>0.19207281030568449</v>
      </c>
      <c r="H129" s="2">
        <f>SUM(F$4:F129)</f>
        <v>478.88516070863614</v>
      </c>
      <c r="I129" s="5" t="s">
        <v>693</v>
      </c>
    </row>
    <row r="130" spans="1:9">
      <c r="A130" s="1" t="s">
        <v>168</v>
      </c>
      <c r="B130" s="17">
        <f t="shared" si="7"/>
        <v>9615.4017017456717</v>
      </c>
      <c r="D130" s="8">
        <f t="shared" si="8"/>
        <v>1.924248955450682E-5</v>
      </c>
      <c r="F130" s="2">
        <f t="shared" si="6"/>
        <v>0.1850242668082282</v>
      </c>
      <c r="H130" s="2">
        <f>SUM(F$4:F130)</f>
        <v>479.07018497544436</v>
      </c>
      <c r="I130" s="5" t="s">
        <v>694</v>
      </c>
    </row>
    <row r="131" spans="1:9">
      <c r="A131" s="1" t="s">
        <v>169</v>
      </c>
      <c r="B131" s="17">
        <f t="shared" si="7"/>
        <v>10096.171786832956</v>
      </c>
      <c r="D131" s="8">
        <f t="shared" si="8"/>
        <v>1.7653660141749375E-5</v>
      </c>
      <c r="F131" s="2">
        <f t="shared" si="6"/>
        <v>0.17823438545746753</v>
      </c>
      <c r="H131" s="2">
        <f>SUM(F$4:F131)</f>
        <v>479.24841936090183</v>
      </c>
      <c r="I131" s="5" t="s">
        <v>695</v>
      </c>
    </row>
    <row r="132" spans="1:9">
      <c r="A132" s="1" t="s">
        <v>170</v>
      </c>
      <c r="B132" s="17">
        <f t="shared" si="7"/>
        <v>10600.980376174604</v>
      </c>
      <c r="D132" s="8">
        <f t="shared" si="8"/>
        <v>1.6196018478669152E-5</v>
      </c>
      <c r="F132" s="2">
        <f t="shared" si="6"/>
        <v>0.17169367406453295</v>
      </c>
      <c r="H132" s="2">
        <f>SUM(F$4:F132)</f>
        <v>479.42011303496639</v>
      </c>
      <c r="I132" s="5" t="s">
        <v>696</v>
      </c>
    </row>
    <row r="133" spans="1:9">
      <c r="A133" s="1" t="s">
        <v>171</v>
      </c>
      <c r="B133" s="17">
        <f t="shared" si="7"/>
        <v>11131.029394983336</v>
      </c>
      <c r="D133" s="8">
        <f t="shared" si="8"/>
        <v>1.4858732549237754E-5</v>
      </c>
      <c r="F133" s="2">
        <f t="shared" si="6"/>
        <v>0.16539298877776112</v>
      </c>
      <c r="H133" s="2">
        <f>SUM(F$4:F133)</f>
        <v>479.58550602374413</v>
      </c>
      <c r="I133" s="5" t="s">
        <v>697</v>
      </c>
    </row>
    <row r="134" spans="1:9">
      <c r="A134" s="1" t="s">
        <v>172</v>
      </c>
      <c r="B134" s="17">
        <f t="shared" si="7"/>
        <v>11687.580864732503</v>
      </c>
      <c r="D134" s="8">
        <f t="shared" si="8"/>
        <v>1.3631864724071333E-5</v>
      </c>
      <c r="F134" s="2">
        <f t="shared" si="6"/>
        <v>0.15932352129967814</v>
      </c>
      <c r="H134" s="2">
        <f>SUM(F$4:F134)</f>
        <v>479.74482954504379</v>
      </c>
      <c r="I134" s="5" t="s">
        <v>698</v>
      </c>
    </row>
    <row r="135" spans="1:9">
      <c r="A135" s="1" t="s">
        <v>173</v>
      </c>
      <c r="B135" s="17">
        <f t="shared" si="7"/>
        <v>12271.959907969129</v>
      </c>
      <c r="D135" s="8">
        <f t="shared" si="8"/>
        <v>1.2506297911992047E-5</v>
      </c>
      <c r="F135" s="2">
        <f t="shared" si="6"/>
        <v>0.15347678657308444</v>
      </c>
      <c r="H135" s="2">
        <f>SUM(F$4:F135)</f>
        <v>479.89830633161688</v>
      </c>
      <c r="I135" s="5" t="s">
        <v>699</v>
      </c>
    </row>
    <row r="136" spans="1:9">
      <c r="A136" s="1" t="s">
        <v>174</v>
      </c>
      <c r="B136" s="17">
        <f t="shared" si="7"/>
        <v>12885.557903367586</v>
      </c>
      <c r="D136" s="8">
        <f t="shared" si="8"/>
        <v>1.1473667809167015E-5</v>
      </c>
      <c r="F136" s="2">
        <f t="shared" si="6"/>
        <v>0.14784461091902629</v>
      </c>
      <c r="H136" s="2">
        <f>SUM(F$4:F136)</f>
        <v>480.04615094253592</v>
      </c>
      <c r="I136" s="5" t="s">
        <v>700</v>
      </c>
    </row>
    <row r="137" spans="1:9">
      <c r="A137" s="1" t="s">
        <v>175</v>
      </c>
      <c r="B137" s="17">
        <f t="shared" si="7"/>
        <v>13529.835798535965</v>
      </c>
      <c r="D137" s="8">
        <f t="shared" si="8"/>
        <v>1.0526300742355058E-5</v>
      </c>
      <c r="F137" s="2">
        <f t="shared" si="6"/>
        <v>0.14241912061007117</v>
      </c>
      <c r="H137" s="2">
        <f>SUM(F$4:F137)</f>
        <v>480.18857006314596</v>
      </c>
      <c r="I137" s="5" t="s">
        <v>701</v>
      </c>
    </row>
    <row r="138" spans="1:9">
      <c r="A138" s="1" t="s">
        <v>176</v>
      </c>
      <c r="B138" s="17">
        <f t="shared" si="7"/>
        <v>14206.327588462764</v>
      </c>
      <c r="D138" s="8">
        <f t="shared" si="8"/>
        <v>9.6571566443624381E-6</v>
      </c>
      <c r="F138" s="2">
        <f t="shared" si="6"/>
        <v>0.13719273086291259</v>
      </c>
      <c r="H138" s="2">
        <f>SUM(F$4:F138)</f>
        <v>480.32576279400888</v>
      </c>
      <c r="I138" s="5" t="s">
        <v>702</v>
      </c>
    </row>
    <row r="139" spans="1:9">
      <c r="A139" s="1" t="s">
        <v>177</v>
      </c>
      <c r="B139" s="17">
        <f t="shared" si="7"/>
        <v>14916.643967885902</v>
      </c>
      <c r="D139" s="8">
        <f t="shared" si="8"/>
        <v>8.8597767379471896E-6</v>
      </c>
      <c r="F139" s="2">
        <f t="shared" si="6"/>
        <v>0.13215813523491579</v>
      </c>
      <c r="H139" s="2">
        <f>SUM(F$4:F139)</f>
        <v>480.45792092924381</v>
      </c>
      <c r="I139" s="5" t="s">
        <v>703</v>
      </c>
    </row>
    <row r="140" spans="1:9">
      <c r="A140" s="1" t="s">
        <v>178</v>
      </c>
      <c r="B140" s="17">
        <f t="shared" si="7"/>
        <v>15662.476166280198</v>
      </c>
      <c r="D140" s="8">
        <f t="shared" si="8"/>
        <v>8.1282355394010911E-6</v>
      </c>
      <c r="F140" s="2">
        <f t="shared" si="6"/>
        <v>0.12730829540978125</v>
      </c>
      <c r="H140" s="2">
        <f>SUM(F$4:F140)</f>
        <v>480.58522922465357</v>
      </c>
      <c r="I140" s="5" t="s">
        <v>704</v>
      </c>
    </row>
    <row r="141" spans="1:9">
      <c r="A141" s="1" t="s">
        <v>179</v>
      </c>
      <c r="B141" s="17">
        <f t="shared" si="7"/>
        <v>16445.599974594206</v>
      </c>
      <c r="D141" s="8">
        <f t="shared" si="8"/>
        <v>7.4570968251386152E-6</v>
      </c>
      <c r="F141" s="2">
        <f t="shared" si="6"/>
        <v>0.12263643135804615</v>
      </c>
      <c r="H141" s="2">
        <f>SUM(F$4:F141)</f>
        <v>480.70786565601162</v>
      </c>
      <c r="I141" s="5" t="s">
        <v>705</v>
      </c>
    </row>
    <row r="142" spans="1:9">
      <c r="A142" s="1" t="s">
        <v>180</v>
      </c>
      <c r="B142" s="17">
        <f t="shared" si="7"/>
        <v>17267.879973323918</v>
      </c>
      <c r="D142" s="8">
        <f t="shared" si="8"/>
        <v>6.8413732340721235E-6</v>
      </c>
      <c r="F142" s="2">
        <f t="shared" si="6"/>
        <v>0.1181360118586683</v>
      </c>
      <c r="H142" s="2">
        <f>SUM(F$4:F142)</f>
        <v>480.82600166787029</v>
      </c>
      <c r="I142" s="5" t="s">
        <v>706</v>
      </c>
    </row>
    <row r="143" spans="1:9">
      <c r="A143" s="1" t="s">
        <v>181</v>
      </c>
      <c r="B143" s="17">
        <f t="shared" si="7"/>
        <v>18131.273971990115</v>
      </c>
      <c r="D143" s="8">
        <f t="shared" si="8"/>
        <v>6.276489205570755E-6</v>
      </c>
      <c r="F143" s="2">
        <f t="shared" si="6"/>
        <v>0.11380074536844194</v>
      </c>
      <c r="H143" s="2">
        <f>SUM(F$4:F143)</f>
        <v>480.93980241323874</v>
      </c>
      <c r="I143" s="5" t="s">
        <v>707</v>
      </c>
    </row>
    <row r="144" spans="1:9">
      <c r="A144" s="1" t="s">
        <v>182</v>
      </c>
      <c r="B144" s="17">
        <f t="shared" si="7"/>
        <v>19037.837670589623</v>
      </c>
      <c r="D144" s="8">
        <f t="shared" si="8"/>
        <v>5.7582469775878483E-6</v>
      </c>
      <c r="F144" s="2">
        <f t="shared" ref="F144:F207" si="9">B144*D144</f>
        <v>0.10962457122648078</v>
      </c>
      <c r="H144" s="2">
        <f>SUM(F$4:F144)</f>
        <v>481.04942698446524</v>
      </c>
      <c r="I144" s="5" t="s">
        <v>708</v>
      </c>
    </row>
    <row r="145" spans="1:9">
      <c r="A145" s="1" t="s">
        <v>183</v>
      </c>
      <c r="B145" s="17">
        <f t="shared" ref="B145:B208" si="10">B144*(1+5%)</f>
        <v>19989.729554119105</v>
      </c>
      <c r="D145" s="8">
        <f t="shared" ref="D145:D208" si="11">D144/(1+9%)</f>
        <v>5.2827953922824294E-6</v>
      </c>
      <c r="F145" s="2">
        <f t="shared" si="9"/>
        <v>0.10560165118147231</v>
      </c>
      <c r="H145" s="2">
        <f>SUM(F$4:F145)</f>
        <v>481.15502863564672</v>
      </c>
      <c r="I145" s="5" t="s">
        <v>709</v>
      </c>
    </row>
    <row r="146" spans="1:9">
      <c r="A146" s="1" t="s">
        <v>184</v>
      </c>
      <c r="B146" s="17">
        <f t="shared" si="10"/>
        <v>20989.216031825061</v>
      </c>
      <c r="D146" s="8">
        <f t="shared" si="11"/>
        <v>4.8466012773233292E-6</v>
      </c>
      <c r="F146" s="2">
        <f t="shared" si="9"/>
        <v>0.10172636122985863</v>
      </c>
      <c r="H146" s="2">
        <f>SUM(F$4:F146)</f>
        <v>481.25675499687657</v>
      </c>
      <c r="I146" s="5" t="s">
        <v>710</v>
      </c>
    </row>
    <row r="147" spans="1:9">
      <c r="A147" s="1" t="s">
        <v>185</v>
      </c>
      <c r="B147" s="17">
        <f t="shared" si="10"/>
        <v>22038.676833416313</v>
      </c>
      <c r="D147" s="8">
        <f t="shared" si="11"/>
        <v>4.4464231902048888E-6</v>
      </c>
      <c r="F147" s="2">
        <f t="shared" si="9"/>
        <v>9.7993283753533542E-2</v>
      </c>
      <c r="H147" s="2">
        <f>SUM(F$4:F147)</f>
        <v>481.35474828063008</v>
      </c>
      <c r="I147" s="5" t="s">
        <v>711</v>
      </c>
    </row>
    <row r="148" spans="1:9">
      <c r="A148" s="1" t="s">
        <v>186</v>
      </c>
      <c r="B148" s="17">
        <f t="shared" si="10"/>
        <v>23140.610675087129</v>
      </c>
      <c r="D148" s="8">
        <f t="shared" si="11"/>
        <v>4.0792873304632004E-6</v>
      </c>
      <c r="F148" s="2">
        <f t="shared" si="9"/>
        <v>9.4397199946064408E-2</v>
      </c>
      <c r="H148" s="2">
        <f>SUM(F$4:F148)</f>
        <v>481.44914548057614</v>
      </c>
      <c r="I148" s="5" t="s">
        <v>712</v>
      </c>
    </row>
    <row r="149" spans="1:9">
      <c r="A149" s="1" t="s">
        <v>187</v>
      </c>
      <c r="B149" s="17">
        <f t="shared" si="10"/>
        <v>24297.641208841487</v>
      </c>
      <c r="D149" s="8">
        <f t="shared" si="11"/>
        <v>3.7424654407919268E-6</v>
      </c>
      <c r="F149" s="2">
        <f t="shared" si="9"/>
        <v>9.0933082516851046E-2</v>
      </c>
      <c r="H149" s="2">
        <f>SUM(F$4:F149)</f>
        <v>481.540078563093</v>
      </c>
      <c r="I149" s="5" t="s">
        <v>713</v>
      </c>
    </row>
    <row r="150" spans="1:9">
      <c r="A150" s="1" t="s">
        <v>188</v>
      </c>
      <c r="B150" s="17">
        <f t="shared" si="10"/>
        <v>25512.523269283563</v>
      </c>
      <c r="D150" s="8">
        <f t="shared" si="11"/>
        <v>3.4334545328366297E-6</v>
      </c>
      <c r="F150" s="2">
        <f t="shared" si="9"/>
        <v>8.759608866302164E-2</v>
      </c>
      <c r="H150" s="2">
        <f>SUM(F$4:F150)</f>
        <v>481.62767465175602</v>
      </c>
      <c r="I150" s="5" t="s">
        <v>714</v>
      </c>
    </row>
    <row r="151" spans="1:9">
      <c r="A151" s="1" t="s">
        <v>189</v>
      </c>
      <c r="B151" s="17">
        <f t="shared" si="10"/>
        <v>26788.149432747741</v>
      </c>
      <c r="D151" s="8">
        <f t="shared" si="11"/>
        <v>3.149958287006082E-6</v>
      </c>
      <c r="F151" s="2">
        <f t="shared" si="9"/>
        <v>8.4381553299241019E-2</v>
      </c>
      <c r="H151" s="2">
        <f>SUM(F$4:F151)</f>
        <v>481.71205620505526</v>
      </c>
      <c r="I151" s="5" t="s">
        <v>715</v>
      </c>
    </row>
    <row r="152" spans="1:9">
      <c r="A152" s="1" t="s">
        <v>190</v>
      </c>
      <c r="B152" s="17">
        <f t="shared" si="10"/>
        <v>28127.556904385128</v>
      </c>
      <c r="D152" s="8">
        <f t="shared" si="11"/>
        <v>2.889869988078974E-6</v>
      </c>
      <c r="F152" s="2">
        <f t="shared" si="9"/>
        <v>8.128498253596611E-2</v>
      </c>
      <c r="H152" s="2">
        <f>SUM(F$4:F152)</f>
        <v>481.79334118759124</v>
      </c>
      <c r="I152" s="5" t="s">
        <v>716</v>
      </c>
    </row>
    <row r="153" spans="1:9">
      <c r="A153" s="1" t="s">
        <v>191</v>
      </c>
      <c r="B153" s="17">
        <f t="shared" si="10"/>
        <v>29533.934749604385</v>
      </c>
      <c r="D153" s="8">
        <f t="shared" si="11"/>
        <v>2.6512568697972237E-6</v>
      </c>
      <c r="F153" s="2">
        <f t="shared" si="9"/>
        <v>7.8302047397031574E-2</v>
      </c>
      <c r="H153" s="2">
        <f>SUM(F$4:F153)</f>
        <v>481.87164323498826</v>
      </c>
      <c r="I153" s="5" t="s">
        <v>717</v>
      </c>
    </row>
    <row r="154" spans="1:9">
      <c r="A154" s="1" t="s">
        <v>192</v>
      </c>
      <c r="B154" s="17">
        <f t="shared" si="10"/>
        <v>31010.631487084604</v>
      </c>
      <c r="D154" s="8">
        <f t="shared" si="11"/>
        <v>2.4323457521075443E-6</v>
      </c>
      <c r="F154" s="2">
        <f t="shared" si="9"/>
        <v>7.5428577767782695E-2</v>
      </c>
      <c r="H154" s="2">
        <f>SUM(F$4:F154)</f>
        <v>481.94707181275606</v>
      </c>
      <c r="I154" s="5" t="s">
        <v>718</v>
      </c>
    </row>
    <row r="155" spans="1:9">
      <c r="A155" s="1" t="s">
        <v>193</v>
      </c>
      <c r="B155" s="17">
        <f t="shared" si="10"/>
        <v>32561.163061438834</v>
      </c>
      <c r="D155" s="8">
        <f t="shared" si="11"/>
        <v>2.2315098643188477E-6</v>
      </c>
      <c r="F155" s="2">
        <f t="shared" si="9"/>
        <v>7.2660556565295242E-2</v>
      </c>
      <c r="H155" s="2">
        <f>SUM(F$4:F155)</f>
        <v>482.01973236932133</v>
      </c>
      <c r="I155" s="5" t="s">
        <v>719</v>
      </c>
    </row>
    <row r="156" spans="1:9">
      <c r="A156" s="1" t="s">
        <v>194</v>
      </c>
      <c r="B156" s="17">
        <f t="shared" si="10"/>
        <v>34189.221214510777</v>
      </c>
      <c r="D156" s="8">
        <f t="shared" si="11"/>
        <v>2.0472567562558236E-6</v>
      </c>
      <c r="F156" s="2">
        <f t="shared" si="9"/>
        <v>6.999411412253212E-2</v>
      </c>
      <c r="H156" s="2">
        <f>SUM(F$4:F156)</f>
        <v>482.08972648344388</v>
      </c>
      <c r="I156" s="5" t="s">
        <v>720</v>
      </c>
    </row>
    <row r="157" spans="1:9">
      <c r="A157" s="1" t="s">
        <v>195</v>
      </c>
      <c r="B157" s="17">
        <f t="shared" si="10"/>
        <v>35898.682275236315</v>
      </c>
      <c r="D157" s="8">
        <f t="shared" si="11"/>
        <v>1.87821720757415E-6</v>
      </c>
      <c r="F157" s="2">
        <f t="shared" si="9"/>
        <v>6.7425522778585989E-2</v>
      </c>
      <c r="H157" s="2">
        <f>SUM(F$4:F157)</f>
        <v>482.15715200622247</v>
      </c>
      <c r="I157" s="5" t="s">
        <v>721</v>
      </c>
    </row>
    <row r="158" spans="1:9">
      <c r="A158" s="1" t="s">
        <v>196</v>
      </c>
      <c r="B158" s="17">
        <f t="shared" si="10"/>
        <v>37693.616388998133</v>
      </c>
      <c r="D158" s="8">
        <f t="shared" si="11"/>
        <v>1.7231350528203209E-6</v>
      </c>
      <c r="F158" s="2">
        <f t="shared" si="9"/>
        <v>6.4951191667445216E-2</v>
      </c>
      <c r="H158" s="2">
        <f>SUM(F$4:F158)</f>
        <v>482.22210319788991</v>
      </c>
      <c r="I158" s="5" t="s">
        <v>722</v>
      </c>
    </row>
    <row r="159" spans="1:9">
      <c r="A159" s="1" t="s">
        <v>197</v>
      </c>
      <c r="B159" s="17">
        <f t="shared" si="10"/>
        <v>39578.297208448043</v>
      </c>
      <c r="D159" s="8">
        <f t="shared" si="11"/>
        <v>1.5808578466241474E-6</v>
      </c>
      <c r="F159" s="2">
        <f t="shared" si="9"/>
        <v>6.256766169799767E-2</v>
      </c>
      <c r="H159" s="2">
        <f>SUM(F$4:F159)</f>
        <v>482.28467085958789</v>
      </c>
      <c r="I159" s="5" t="s">
        <v>723</v>
      </c>
    </row>
    <row r="160" spans="1:9">
      <c r="A160" s="1" t="s">
        <v>198</v>
      </c>
      <c r="B160" s="17">
        <f t="shared" si="10"/>
        <v>41557.212068870445</v>
      </c>
      <c r="D160" s="8">
        <f t="shared" si="11"/>
        <v>1.450328299655181E-6</v>
      </c>
      <c r="F160" s="2">
        <f t="shared" si="9"/>
        <v>6.0271600718254638E-2</v>
      </c>
      <c r="H160" s="2">
        <f>SUM(F$4:F160)</f>
        <v>482.34494246030613</v>
      </c>
      <c r="I160" s="5" t="s">
        <v>724</v>
      </c>
    </row>
    <row r="161" spans="1:9">
      <c r="A161" s="1" t="s">
        <v>199</v>
      </c>
      <c r="B161" s="17">
        <f t="shared" si="10"/>
        <v>43635.072672313967</v>
      </c>
      <c r="D161" s="8">
        <f t="shared" si="11"/>
        <v>1.3305764217020009E-6</v>
      </c>
      <c r="F161" s="2">
        <f t="shared" si="9"/>
        <v>5.8059798857034287E-2</v>
      </c>
      <c r="H161" s="2">
        <f>SUM(F$4:F161)</f>
        <v>482.40300225916315</v>
      </c>
      <c r="I161" s="5" t="s">
        <v>725</v>
      </c>
    </row>
    <row r="162" spans="1:9">
      <c r="A162" s="1" t="s">
        <v>200</v>
      </c>
      <c r="B162" s="17">
        <f t="shared" si="10"/>
        <v>45816.826305929666</v>
      </c>
      <c r="D162" s="8">
        <f t="shared" si="11"/>
        <v>1.2207123134880743E-6</v>
      </c>
      <c r="F162" s="2">
        <f t="shared" si="9"/>
        <v>5.5929164036592663E-2</v>
      </c>
      <c r="H162" s="2">
        <f>SUM(F$4:F162)</f>
        <v>482.45893142319972</v>
      </c>
      <c r="I162" s="5" t="s">
        <v>726</v>
      </c>
    </row>
    <row r="163" spans="1:9">
      <c r="A163" s="1" t="s">
        <v>201</v>
      </c>
      <c r="B163" s="17">
        <f t="shared" si="10"/>
        <v>48107.667621226152</v>
      </c>
      <c r="D163" s="8">
        <f t="shared" si="11"/>
        <v>1.1199195536587836E-6</v>
      </c>
      <c r="F163" s="2">
        <f t="shared" si="9"/>
        <v>5.3876717649928713E-2</v>
      </c>
      <c r="H163" s="2">
        <f>SUM(F$4:F163)</f>
        <v>482.51280814084964</v>
      </c>
      <c r="I163" s="5" t="s">
        <v>727</v>
      </c>
    </row>
    <row r="164" spans="1:9">
      <c r="A164" s="1" t="s">
        <v>202</v>
      </c>
      <c r="B164" s="17">
        <f t="shared" si="10"/>
        <v>50513.051002287459</v>
      </c>
      <c r="D164" s="8">
        <f t="shared" si="11"/>
        <v>1.027449131797049E-6</v>
      </c>
      <c r="F164" s="2">
        <f t="shared" si="9"/>
        <v>5.1899590396720305E-2</v>
      </c>
      <c r="H164" s="2">
        <f>SUM(F$4:F164)</f>
        <v>482.56470773124636</v>
      </c>
      <c r="I164" s="5" t="s">
        <v>728</v>
      </c>
    </row>
    <row r="165" spans="1:9">
      <c r="A165" s="1" t="s">
        <v>203</v>
      </c>
      <c r="B165" s="17">
        <f t="shared" si="10"/>
        <v>53038.703552401836</v>
      </c>
      <c r="D165" s="8">
        <f t="shared" si="11"/>
        <v>9.4261388238261372E-7</v>
      </c>
      <c r="F165" s="2">
        <f t="shared" si="9"/>
        <v>4.9995018272070021E-2</v>
      </c>
      <c r="H165" s="2">
        <f>SUM(F$4:F165)</f>
        <v>482.61470274951841</v>
      </c>
      <c r="I165" s="5" t="s">
        <v>729</v>
      </c>
    </row>
    <row r="166" spans="1:9">
      <c r="A166" s="1" t="s">
        <v>204</v>
      </c>
      <c r="B166" s="17">
        <f t="shared" si="10"/>
        <v>55690.638730021928</v>
      </c>
      <c r="D166" s="8">
        <f t="shared" si="11"/>
        <v>8.6478337833267305E-7</v>
      </c>
      <c r="F166" s="2">
        <f t="shared" si="9"/>
        <v>4.8160338702452767E-2</v>
      </c>
      <c r="H166" s="2">
        <f>SUM(F$4:F166)</f>
        <v>482.66286308822089</v>
      </c>
      <c r="I166" s="5" t="s">
        <v>730</v>
      </c>
    </row>
    <row r="167" spans="1:9">
      <c r="A167" s="1" t="s">
        <v>205</v>
      </c>
      <c r="B167" s="17">
        <f t="shared" si="10"/>
        <v>58475.17066652303</v>
      </c>
      <c r="D167" s="8">
        <f t="shared" si="11"/>
        <v>7.9337924617676423E-7</v>
      </c>
      <c r="F167" s="2">
        <f t="shared" si="9"/>
        <v>4.6392986823463676E-2</v>
      </c>
      <c r="H167" s="2">
        <f>SUM(F$4:F167)</f>
        <v>482.70925607504438</v>
      </c>
      <c r="I167" s="5" t="s">
        <v>731</v>
      </c>
    </row>
    <row r="168" spans="1:9">
      <c r="A168" s="1" t="s">
        <v>206</v>
      </c>
      <c r="B168" s="17">
        <f t="shared" si="10"/>
        <v>61398.929199849183</v>
      </c>
      <c r="D168" s="8">
        <f t="shared" si="11"/>
        <v>7.2787086805207722E-7</v>
      </c>
      <c r="F168" s="2">
        <f t="shared" si="9"/>
        <v>4.4690491894162257E-2</v>
      </c>
      <c r="H168" s="2">
        <f>SUM(F$4:F168)</f>
        <v>482.75394656693857</v>
      </c>
      <c r="I168" s="5" t="s">
        <v>732</v>
      </c>
    </row>
    <row r="169" spans="1:9">
      <c r="A169" s="1" t="s">
        <v>207</v>
      </c>
      <c r="B169" s="17">
        <f t="shared" si="10"/>
        <v>64468.875659841644</v>
      </c>
      <c r="D169" s="8">
        <f t="shared" si="11"/>
        <v>6.6777143857988726E-7</v>
      </c>
      <c r="F169" s="2">
        <f t="shared" si="9"/>
        <v>4.3050473843000335E-2</v>
      </c>
      <c r="H169" s="2">
        <f>SUM(F$4:F169)</f>
        <v>482.79699704078155</v>
      </c>
      <c r="I169" s="5" t="s">
        <v>733</v>
      </c>
    </row>
    <row r="170" spans="1:9">
      <c r="A170" s="1" t="s">
        <v>208</v>
      </c>
      <c r="B170" s="17">
        <f t="shared" si="10"/>
        <v>67692.31944283373</v>
      </c>
      <c r="D170" s="8">
        <f t="shared" si="11"/>
        <v>6.1263434732099748E-7</v>
      </c>
      <c r="F170" s="2">
        <f t="shared" si="9"/>
        <v>4.1470639940504907E-2</v>
      </c>
      <c r="H170" s="2">
        <f>SUM(F$4:F170)</f>
        <v>482.83846768072203</v>
      </c>
      <c r="I170" s="5" t="s">
        <v>734</v>
      </c>
    </row>
    <row r="171" spans="1:9">
      <c r="A171" s="1" t="s">
        <v>209</v>
      </c>
      <c r="B171" s="17">
        <f t="shared" si="10"/>
        <v>71076.935414975422</v>
      </c>
      <c r="D171" s="8">
        <f t="shared" si="11"/>
        <v>5.6204985992752056E-7</v>
      </c>
      <c r="F171" s="2">
        <f t="shared" si="9"/>
        <v>3.9948781594064363E-2</v>
      </c>
      <c r="H171" s="2">
        <f>SUM(F$4:F171)</f>
        <v>482.87841646231612</v>
      </c>
      <c r="I171" s="5" t="s">
        <v>735</v>
      </c>
    </row>
    <row r="172" spans="1:9">
      <c r="A172" s="1" t="s">
        <v>210</v>
      </c>
      <c r="B172" s="17">
        <f t="shared" si="10"/>
        <v>74630.782185724194</v>
      </c>
      <c r="D172" s="8">
        <f t="shared" si="11"/>
        <v>5.1564207332800052E-7</v>
      </c>
      <c r="F172" s="2">
        <f t="shared" si="9"/>
        <v>3.848277126033723E-2</v>
      </c>
      <c r="H172" s="2">
        <f>SUM(F$4:F172)</f>
        <v>482.91689923357649</v>
      </c>
      <c r="I172" s="5" t="s">
        <v>736</v>
      </c>
    </row>
    <row r="173" spans="1:9">
      <c r="A173" s="1" t="s">
        <v>211</v>
      </c>
      <c r="B173" s="17">
        <f t="shared" si="10"/>
        <v>78362.321295010406</v>
      </c>
      <c r="D173" s="8">
        <f t="shared" si="11"/>
        <v>4.7306612231926652E-7</v>
      </c>
      <c r="F173" s="2">
        <f t="shared" si="9"/>
        <v>3.7070559470967053E-2</v>
      </c>
      <c r="H173" s="2">
        <f>SUM(F$4:F173)</f>
        <v>482.95396979304746</v>
      </c>
      <c r="I173" s="5" t="s">
        <v>737</v>
      </c>
    </row>
    <row r="174" spans="1:9">
      <c r="A174" s="1" t="s">
        <v>212</v>
      </c>
      <c r="B174" s="17">
        <f t="shared" si="10"/>
        <v>82280.437359760923</v>
      </c>
      <c r="D174" s="8">
        <f t="shared" si="11"/>
        <v>4.3400561680666652E-7</v>
      </c>
      <c r="F174" s="2">
        <f t="shared" si="9"/>
        <v>3.5710171967445324E-2</v>
      </c>
      <c r="H174" s="2">
        <f>SUM(F$4:F174)</f>
        <v>482.98967996501489</v>
      </c>
      <c r="I174" s="5" t="s">
        <v>738</v>
      </c>
    </row>
    <row r="175" spans="1:9">
      <c r="A175" s="1" t="s">
        <v>213</v>
      </c>
      <c r="B175" s="17">
        <f t="shared" si="10"/>
        <v>86394.459227748972</v>
      </c>
      <c r="D175" s="8">
        <f t="shared" si="11"/>
        <v>3.9817029064831787E-7</v>
      </c>
      <c r="F175" s="2">
        <f t="shared" si="9"/>
        <v>3.4399706941117054E-2</v>
      </c>
      <c r="H175" s="2">
        <f>SUM(F$4:F175)</f>
        <v>483.02407967195603</v>
      </c>
      <c r="I175" s="5" t="s">
        <v>739</v>
      </c>
    </row>
    <row r="176" spans="1:9">
      <c r="A176" s="1" t="s">
        <v>214</v>
      </c>
      <c r="B176" s="17">
        <f t="shared" si="10"/>
        <v>90714.182189136423</v>
      </c>
      <c r="D176" s="8">
        <f t="shared" si="11"/>
        <v>3.6529384463148427E-7</v>
      </c>
      <c r="F176" s="2">
        <f t="shared" si="9"/>
        <v>3.3137332374470557E-2</v>
      </c>
      <c r="H176" s="2">
        <f>SUM(F$4:F176)</f>
        <v>483.05721700433048</v>
      </c>
      <c r="I176" s="5" t="s">
        <v>740</v>
      </c>
    </row>
    <row r="177" spans="1:9">
      <c r="A177" s="1" t="s">
        <v>215</v>
      </c>
      <c r="B177" s="17">
        <f t="shared" si="10"/>
        <v>95249.891298593255</v>
      </c>
      <c r="D177" s="8">
        <f t="shared" si="11"/>
        <v>3.3513196755182042E-7</v>
      </c>
      <c r="F177" s="2">
        <f t="shared" si="9"/>
        <v>3.1921283479994574E-2</v>
      </c>
      <c r="H177" s="2">
        <f>SUM(F$4:F177)</f>
        <v>483.0891382878105</v>
      </c>
      <c r="I177" s="5" t="s">
        <v>741</v>
      </c>
    </row>
    <row r="178" spans="1:9">
      <c r="A178" s="1" t="s">
        <v>216</v>
      </c>
      <c r="B178" s="17">
        <f t="shared" si="10"/>
        <v>100012.38586352293</v>
      </c>
      <c r="D178" s="8">
        <f t="shared" si="11"/>
        <v>3.0746052068974349E-7</v>
      </c>
      <c r="F178" s="2">
        <f t="shared" si="9"/>
        <v>3.07498602330223E-2</v>
      </c>
      <c r="H178" s="2">
        <f>SUM(F$4:F178)</f>
        <v>483.11988814804351</v>
      </c>
      <c r="I178" s="5" t="s">
        <v>742</v>
      </c>
    </row>
    <row r="179" spans="1:9">
      <c r="A179" s="1" t="s">
        <v>217</v>
      </c>
      <c r="B179" s="17">
        <f t="shared" si="10"/>
        <v>105013.00515669907</v>
      </c>
      <c r="D179" s="8">
        <f t="shared" si="11"/>
        <v>2.8207387219242519E-7</v>
      </c>
      <c r="F179" s="2">
        <f t="shared" si="9"/>
        <v>2.9621424995113221E-2</v>
      </c>
      <c r="H179" s="2">
        <f>SUM(F$4:F179)</f>
        <v>483.14950957303864</v>
      </c>
      <c r="I179" s="5" t="s">
        <v>743</v>
      </c>
    </row>
    <row r="180" spans="1:9">
      <c r="A180" s="1" t="s">
        <v>218</v>
      </c>
      <c r="B180" s="17">
        <f t="shared" si="10"/>
        <v>110263.65541453403</v>
      </c>
      <c r="D180" s="8">
        <f t="shared" si="11"/>
        <v>2.5878336898387629E-7</v>
      </c>
      <c r="F180" s="2">
        <f t="shared" si="9"/>
        <v>2.8534400224650348E-2</v>
      </c>
      <c r="H180" s="2">
        <f>SUM(F$4:F180)</f>
        <v>483.1780439732633</v>
      </c>
      <c r="I180" s="5" t="s">
        <v>744</v>
      </c>
    </row>
    <row r="181" spans="1:9">
      <c r="A181" s="1" t="s">
        <v>219</v>
      </c>
      <c r="B181" s="17">
        <f t="shared" si="10"/>
        <v>115776.83818526074</v>
      </c>
      <c r="D181" s="8">
        <f t="shared" si="11"/>
        <v>2.374159348475929E-7</v>
      </c>
      <c r="F181" s="2">
        <f t="shared" si="9"/>
        <v>2.748726627145217E-2</v>
      </c>
      <c r="H181" s="2">
        <f>SUM(F$4:F181)</f>
        <v>483.20553123953476</v>
      </c>
      <c r="I181" s="5" t="s">
        <v>745</v>
      </c>
    </row>
    <row r="182" spans="1:9">
      <c r="A182" s="1" t="s">
        <v>220</v>
      </c>
      <c r="B182" s="17">
        <f t="shared" si="10"/>
        <v>121565.68009452378</v>
      </c>
      <c r="D182" s="8">
        <f t="shared" si="11"/>
        <v>2.1781278426384669E-7</v>
      </c>
      <c r="F182" s="2">
        <f t="shared" si="9"/>
        <v>2.6478559252316309E-2</v>
      </c>
      <c r="H182" s="2">
        <f>SUM(F$4:F182)</f>
        <v>483.23200979878709</v>
      </c>
      <c r="I182" s="5" t="s">
        <v>746</v>
      </c>
    </row>
    <row r="183" spans="1:9">
      <c r="A183" s="1" t="s">
        <v>221</v>
      </c>
      <c r="B183" s="17">
        <f t="shared" si="10"/>
        <v>127643.96409924998</v>
      </c>
      <c r="D183" s="8">
        <f t="shared" si="11"/>
        <v>1.9982824244389602E-7</v>
      </c>
      <c r="F183" s="2">
        <f t="shared" si="9"/>
        <v>2.5506869004524885E-2</v>
      </c>
      <c r="H183" s="2">
        <f>SUM(F$4:F183)</f>
        <v>483.25751666779161</v>
      </c>
      <c r="I183" s="5" t="s">
        <v>747</v>
      </c>
    </row>
    <row r="184" spans="1:9">
      <c r="A184" s="1" t="s">
        <v>222</v>
      </c>
      <c r="B184" s="17">
        <f t="shared" si="10"/>
        <v>134026.16230421248</v>
      </c>
      <c r="D184" s="8">
        <f t="shared" si="11"/>
        <v>1.8332866279256513E-7</v>
      </c>
      <c r="F184" s="2">
        <f t="shared" si="9"/>
        <v>2.4570837114450576E-2</v>
      </c>
      <c r="H184" s="2">
        <f>SUM(F$4:F184)</f>
        <v>483.28208750490603</v>
      </c>
      <c r="I184" s="5" t="s">
        <v>748</v>
      </c>
    </row>
    <row r="185" spans="1:9">
      <c r="A185" s="1" t="s">
        <v>223</v>
      </c>
      <c r="B185" s="17">
        <f t="shared" si="10"/>
        <v>140727.4704194231</v>
      </c>
      <c r="D185" s="8">
        <f t="shared" si="11"/>
        <v>1.6819143375464689E-7</v>
      </c>
      <c r="F185" s="2">
        <f t="shared" si="9"/>
        <v>2.3669155018507429E-2</v>
      </c>
      <c r="H185" s="2">
        <f>SUM(F$4:F185)</f>
        <v>483.30575665992455</v>
      </c>
      <c r="I185" s="5" t="s">
        <v>749</v>
      </c>
    </row>
    <row r="186" spans="1:9">
      <c r="A186" s="1" t="s">
        <v>224</v>
      </c>
      <c r="B186" s="17">
        <f t="shared" si="10"/>
        <v>147763.84394039426</v>
      </c>
      <c r="D186" s="8">
        <f t="shared" si="11"/>
        <v>1.5430406766481364E-7</v>
      </c>
      <c r="F186" s="2">
        <f t="shared" si="9"/>
        <v>2.2800562173791561E-2</v>
      </c>
      <c r="H186" s="2">
        <f>SUM(F$4:F186)</f>
        <v>483.32855722209837</v>
      </c>
      <c r="I186" s="5" t="s">
        <v>750</v>
      </c>
    </row>
    <row r="187" spans="1:9">
      <c r="A187" s="1" t="s">
        <v>225</v>
      </c>
      <c r="B187" s="17">
        <f t="shared" si="10"/>
        <v>155152.03613741399</v>
      </c>
      <c r="D187" s="8">
        <f t="shared" si="11"/>
        <v>1.4156336483010426E-7</v>
      </c>
      <c r="F187" s="2">
        <f t="shared" si="9"/>
        <v>2.1963844295854257E-2</v>
      </c>
      <c r="H187" s="2">
        <f>SUM(F$4:F187)</f>
        <v>483.35052106639421</v>
      </c>
      <c r="I187" s="5" t="s">
        <v>751</v>
      </c>
    </row>
    <row r="188" spans="1:9">
      <c r="A188" s="1" t="s">
        <v>226</v>
      </c>
      <c r="B188" s="17">
        <f t="shared" si="10"/>
        <v>162909.63794428471</v>
      </c>
      <c r="D188" s="8">
        <f t="shared" si="11"/>
        <v>1.2987464663312317E-7</v>
      </c>
      <c r="F188" s="2">
        <f t="shared" si="9"/>
        <v>2.115783166114401E-2</v>
      </c>
      <c r="H188" s="2">
        <f>SUM(F$4:F188)</f>
        <v>483.37167889805534</v>
      </c>
      <c r="I188" s="5" t="s">
        <v>752</v>
      </c>
    </row>
    <row r="189" spans="1:9">
      <c r="A189" s="1" t="s">
        <v>227</v>
      </c>
      <c r="B189" s="17">
        <f t="shared" si="10"/>
        <v>171055.11984149896</v>
      </c>
      <c r="D189" s="8">
        <f t="shared" si="11"/>
        <v>1.1915105195699372E-7</v>
      </c>
      <c r="F189" s="2">
        <f t="shared" si="9"/>
        <v>2.0381397471744229E-2</v>
      </c>
      <c r="H189" s="2">
        <f>SUM(F$4:F189)</f>
        <v>483.39206029552707</v>
      </c>
      <c r="I189" s="5" t="s">
        <v>753</v>
      </c>
    </row>
    <row r="190" spans="1:9">
      <c r="A190" s="1" t="s">
        <v>228</v>
      </c>
      <c r="B190" s="17">
        <f t="shared" si="10"/>
        <v>179607.87583357393</v>
      </c>
      <c r="D190" s="8">
        <f t="shared" si="11"/>
        <v>1.0931289170366396E-7</v>
      </c>
      <c r="F190" s="2">
        <f t="shared" si="9"/>
        <v>1.963345628012059E-2</v>
      </c>
      <c r="H190" s="2">
        <f>SUM(F$4:F190)</f>
        <v>483.41169375180721</v>
      </c>
      <c r="I190" s="5" t="s">
        <v>754</v>
      </c>
    </row>
    <row r="191" spans="1:9">
      <c r="A191" s="1" t="s">
        <v>229</v>
      </c>
      <c r="B191" s="17">
        <f t="shared" si="10"/>
        <v>188588.26962525264</v>
      </c>
      <c r="D191" s="8">
        <f t="shared" si="11"/>
        <v>1.0028705660886602E-7</v>
      </c>
      <c r="F191" s="2">
        <f t="shared" si="9"/>
        <v>1.8912962471675798E-2</v>
      </c>
      <c r="H191" s="2">
        <f>SUM(F$4:F191)</f>
        <v>483.43060671427889</v>
      </c>
      <c r="I191" s="5" t="s">
        <v>755</v>
      </c>
    </row>
    <row r="192" spans="1:9">
      <c r="A192" s="1" t="s">
        <v>230</v>
      </c>
      <c r="B192" s="17">
        <f t="shared" si="10"/>
        <v>198017.68310651527</v>
      </c>
      <c r="D192" s="8">
        <f t="shared" si="11"/>
        <v>9.2006473953088082E-8</v>
      </c>
      <c r="F192" s="2">
        <f t="shared" si="9"/>
        <v>1.8218908802990447E-2</v>
      </c>
      <c r="H192" s="2">
        <f>SUM(F$4:F192)</f>
        <v>483.44882562308186</v>
      </c>
      <c r="I192" s="5" t="s">
        <v>756</v>
      </c>
    </row>
    <row r="193" spans="1:9">
      <c r="A193" s="1" t="s">
        <v>231</v>
      </c>
      <c r="B193" s="17">
        <f t="shared" si="10"/>
        <v>207918.56726184103</v>
      </c>
      <c r="D193" s="8">
        <f t="shared" si="11"/>
        <v>8.4409609131273468E-8</v>
      </c>
      <c r="F193" s="2">
        <f t="shared" si="9"/>
        <v>1.7550324993706394E-2</v>
      </c>
      <c r="H193" s="2">
        <f>SUM(F$4:F193)</f>
        <v>483.46637594807555</v>
      </c>
      <c r="I193" s="5" t="s">
        <v>757</v>
      </c>
    </row>
    <row r="194" spans="1:9">
      <c r="A194" s="1" t="s">
        <v>232</v>
      </c>
      <c r="B194" s="17">
        <f t="shared" si="10"/>
        <v>218314.4956249331</v>
      </c>
      <c r="D194" s="8">
        <f t="shared" si="11"/>
        <v>7.7440008377315101E-8</v>
      </c>
      <c r="F194" s="2">
        <f t="shared" si="9"/>
        <v>1.6906276370084142E-2</v>
      </c>
      <c r="H194" s="2">
        <f>SUM(F$4:F194)</f>
        <v>483.48328222444565</v>
      </c>
      <c r="I194" s="5" t="s">
        <v>758</v>
      </c>
    </row>
    <row r="195" spans="1:9">
      <c r="A195" s="1" t="s">
        <v>233</v>
      </c>
      <c r="B195" s="17">
        <f t="shared" si="10"/>
        <v>229230.22040617975</v>
      </c>
      <c r="D195" s="8">
        <f t="shared" si="11"/>
        <v>7.1045879245243207E-8</v>
      </c>
      <c r="F195" s="2">
        <f t="shared" si="9"/>
        <v>1.6285862558337933E-2</v>
      </c>
      <c r="H195" s="2">
        <f>SUM(F$4:F195)</f>
        <v>483.49956808700398</v>
      </c>
      <c r="I195" s="5" t="s">
        <v>759</v>
      </c>
    </row>
    <row r="196" spans="1:9">
      <c r="A196" s="1" t="s">
        <v>234</v>
      </c>
      <c r="B196" s="17">
        <f t="shared" si="10"/>
        <v>240691.73142648875</v>
      </c>
      <c r="D196" s="8">
        <f t="shared" si="11"/>
        <v>6.5179705729580918E-8</v>
      </c>
      <c r="F196" s="2">
        <f t="shared" si="9"/>
        <v>1.5688216225921859E-2</v>
      </c>
      <c r="H196" s="2">
        <f>SUM(F$4:F196)</f>
        <v>483.51525630322988</v>
      </c>
      <c r="I196" s="5" t="s">
        <v>760</v>
      </c>
    </row>
    <row r="197" spans="1:9">
      <c r="A197" s="1" t="s">
        <v>235</v>
      </c>
      <c r="B197" s="17">
        <f t="shared" si="10"/>
        <v>252726.3179978132</v>
      </c>
      <c r="D197" s="8">
        <f t="shared" si="11"/>
        <v>5.979789516475313E-8</v>
      </c>
      <c r="F197" s="2">
        <f t="shared" si="9"/>
        <v>1.5112501869007295E-2</v>
      </c>
      <c r="H197" s="2">
        <f>SUM(F$4:F197)</f>
        <v>483.53036880509887</v>
      </c>
      <c r="I197" s="5" t="s">
        <v>761</v>
      </c>
    </row>
    <row r="198" spans="1:9">
      <c r="A198" s="1" t="s">
        <v>236</v>
      </c>
      <c r="B198" s="17">
        <f t="shared" si="10"/>
        <v>265362.63389770384</v>
      </c>
      <c r="D198" s="8">
        <f t="shared" si="11"/>
        <v>5.486045427959002E-8</v>
      </c>
      <c r="F198" s="2">
        <f t="shared" si="9"/>
        <v>1.4557914644456566E-2</v>
      </c>
      <c r="H198" s="2">
        <f>SUM(F$4:F198)</f>
        <v>483.54492671974333</v>
      </c>
      <c r="I198" s="5" t="s">
        <v>762</v>
      </c>
    </row>
    <row r="199" spans="1:9">
      <c r="A199" s="1" t="s">
        <v>237</v>
      </c>
      <c r="B199" s="17">
        <f t="shared" si="10"/>
        <v>278630.76559258904</v>
      </c>
      <c r="D199" s="8">
        <f t="shared" si="11"/>
        <v>5.0330691999623868E-8</v>
      </c>
      <c r="F199" s="2">
        <f t="shared" si="9"/>
        <v>1.4023679244659994E-2</v>
      </c>
      <c r="H199" s="2">
        <f>SUM(F$4:F199)</f>
        <v>483.55895039898797</v>
      </c>
      <c r="I199" s="5" t="s">
        <v>763</v>
      </c>
    </row>
    <row r="200" spans="1:9">
      <c r="A200" s="1" t="s">
        <v>238</v>
      </c>
      <c r="B200" s="17">
        <f t="shared" si="10"/>
        <v>292562.30387221853</v>
      </c>
      <c r="D200" s="8">
        <f t="shared" si="11"/>
        <v>4.6174946788645746E-8</v>
      </c>
      <c r="F200" s="2">
        <f t="shared" si="9"/>
        <v>1.3509048813663297E-2</v>
      </c>
      <c r="H200" s="2">
        <f>SUM(F$4:F200)</f>
        <v>483.57245944780163</v>
      </c>
      <c r="I200" s="5" t="s">
        <v>764</v>
      </c>
    </row>
    <row r="201" spans="1:9">
      <c r="A201" s="1" t="s">
        <v>239</v>
      </c>
      <c r="B201" s="17">
        <f t="shared" si="10"/>
        <v>307190.41906582948</v>
      </c>
      <c r="D201" s="8">
        <f t="shared" si="11"/>
        <v>4.2362336503344717E-8</v>
      </c>
      <c r="F201" s="2">
        <f t="shared" si="9"/>
        <v>1.3013303903070149E-2</v>
      </c>
      <c r="H201" s="2">
        <f>SUM(F$4:F201)</f>
        <v>483.58547275170469</v>
      </c>
      <c r="I201" s="5" t="s">
        <v>765</v>
      </c>
    </row>
    <row r="202" spans="1:9">
      <c r="A202" s="1" t="s">
        <v>240</v>
      </c>
      <c r="B202" s="17">
        <f t="shared" si="10"/>
        <v>322549.94001912099</v>
      </c>
      <c r="D202" s="8">
        <f t="shared" si="11"/>
        <v>3.8864528902151114E-8</v>
      </c>
      <c r="F202" s="2">
        <f t="shared" si="9"/>
        <v>1.2535751466260237E-2</v>
      </c>
      <c r="H202" s="2">
        <f>SUM(F$4:F202)</f>
        <v>483.59800850317095</v>
      </c>
      <c r="I202" s="5" t="s">
        <v>766</v>
      </c>
    </row>
    <row r="203" spans="1:9">
      <c r="A203" s="1" t="s">
        <v>241</v>
      </c>
      <c r="B203" s="17">
        <f t="shared" si="10"/>
        <v>338677.43702007702</v>
      </c>
      <c r="D203" s="8">
        <f t="shared" si="11"/>
        <v>3.565553110289093E-8</v>
      </c>
      <c r="F203" s="2">
        <f t="shared" si="9"/>
        <v>1.207572388951674E-2</v>
      </c>
      <c r="H203" s="2">
        <f>SUM(F$4:F203)</f>
        <v>483.61008422706044</v>
      </c>
      <c r="I203" s="5" t="s">
        <v>767</v>
      </c>
    </row>
    <row r="204" spans="1:9">
      <c r="A204" s="1" t="s">
        <v>242</v>
      </c>
      <c r="B204" s="17">
        <f t="shared" si="10"/>
        <v>355611.30887108087</v>
      </c>
      <c r="D204" s="8">
        <f t="shared" si="11"/>
        <v>3.2711496424670576E-8</v>
      </c>
      <c r="F204" s="2">
        <f t="shared" si="9"/>
        <v>1.1632578058708785E-2</v>
      </c>
      <c r="H204" s="2">
        <f>SUM(F$4:F204)</f>
        <v>483.62171680511915</v>
      </c>
      <c r="I204" s="5" t="s">
        <v>768</v>
      </c>
    </row>
    <row r="205" spans="1:9">
      <c r="A205" s="1" t="s">
        <v>251</v>
      </c>
      <c r="B205" s="17">
        <f t="shared" si="10"/>
        <v>373391.87431463494</v>
      </c>
      <c r="D205" s="8">
        <f t="shared" si="11"/>
        <v>3.0010547178596858E-8</v>
      </c>
      <c r="F205" s="2">
        <f t="shared" si="9"/>
        <v>1.1205694460224061E-2</v>
      </c>
      <c r="H205" s="2">
        <f>SUM(F$4:F205)</f>
        <v>483.63292249957937</v>
      </c>
      <c r="I205" s="5" t="s">
        <v>769</v>
      </c>
    </row>
    <row r="206" spans="1:9">
      <c r="A206" s="1" t="s">
        <v>252</v>
      </c>
      <c r="B206" s="17">
        <f t="shared" si="10"/>
        <v>392061.4680303667</v>
      </c>
      <c r="D206" s="8">
        <f t="shared" si="11"/>
        <v>2.7532612090455831E-8</v>
      </c>
      <c r="F206" s="2">
        <f t="shared" si="9"/>
        <v>1.0794476314894736E-2</v>
      </c>
      <c r="H206" s="2">
        <f>SUM(F$4:F206)</f>
        <v>483.64371697589428</v>
      </c>
      <c r="I206" s="5" t="s">
        <v>770</v>
      </c>
    </row>
    <row r="207" spans="1:9">
      <c r="A207" s="1" t="s">
        <v>253</v>
      </c>
      <c r="B207" s="17">
        <f t="shared" si="10"/>
        <v>411664.54143188504</v>
      </c>
      <c r="D207" s="8">
        <f t="shared" si="11"/>
        <v>2.5259277147207183E-8</v>
      </c>
      <c r="F207" s="2">
        <f t="shared" si="9"/>
        <v>1.0398348743705939E-2</v>
      </c>
      <c r="H207" s="2">
        <f>SUM(F$4:F207)</f>
        <v>483.65411532463798</v>
      </c>
      <c r="I207" s="5" t="s">
        <v>771</v>
      </c>
    </row>
    <row r="208" spans="1:9">
      <c r="A208" s="1" t="s">
        <v>254</v>
      </c>
      <c r="B208" s="17">
        <f t="shared" si="10"/>
        <v>432247.76850347931</v>
      </c>
      <c r="D208" s="8">
        <f t="shared" si="11"/>
        <v>2.3173648758905671E-8</v>
      </c>
      <c r="F208" s="2">
        <f t="shared" ref="F208:F271" si="12">B208*D208</f>
        <v>1.0016757964120399E-2</v>
      </c>
      <c r="H208" s="2">
        <f>SUM(F$4:F208)</f>
        <v>483.66413208260212</v>
      </c>
      <c r="I208" s="5" t="s">
        <v>772</v>
      </c>
    </row>
    <row r="209" spans="1:9">
      <c r="A209" s="1" t="s">
        <v>255</v>
      </c>
      <c r="B209" s="17">
        <f t="shared" ref="B209:B272" si="13">B208*(1+5%)</f>
        <v>453860.1569286533</v>
      </c>
      <c r="D209" s="8">
        <f t="shared" ref="D209:D272" si="14">D208/(1+9%)</f>
        <v>2.1260228219179512E-8</v>
      </c>
      <c r="F209" s="2">
        <f t="shared" si="12"/>
        <v>9.6491705158957969E-3</v>
      </c>
      <c r="H209" s="2">
        <f>SUM(F$4:F209)</f>
        <v>483.67378125311802</v>
      </c>
      <c r="I209" s="5" t="s">
        <v>773</v>
      </c>
    </row>
    <row r="210" spans="1:9">
      <c r="A210" s="1" t="s">
        <v>256</v>
      </c>
      <c r="B210" s="17">
        <f t="shared" si="13"/>
        <v>476553.16477508598</v>
      </c>
      <c r="D210" s="8">
        <f t="shared" si="14"/>
        <v>1.950479653135735E-8</v>
      </c>
      <c r="F210" s="2">
        <f t="shared" si="12"/>
        <v>9.2950725153124643E-3</v>
      </c>
      <c r="H210" s="2">
        <f>SUM(F$4:F210)</f>
        <v>483.68307632563335</v>
      </c>
      <c r="I210" s="5" t="s">
        <v>774</v>
      </c>
    </row>
    <row r="211" spans="1:9">
      <c r="A211" s="1" t="s">
        <v>257</v>
      </c>
      <c r="B211" s="17">
        <f t="shared" si="13"/>
        <v>500380.8230138403</v>
      </c>
      <c r="D211" s="8">
        <f t="shared" si="14"/>
        <v>1.7894308744364541E-8</v>
      </c>
      <c r="F211" s="2">
        <f t="shared" si="12"/>
        <v>8.9539689367688878E-3</v>
      </c>
      <c r="H211" s="2">
        <f>SUM(F$4:F211)</f>
        <v>483.69203029457015</v>
      </c>
      <c r="I211" s="5" t="s">
        <v>775</v>
      </c>
    </row>
    <row r="212" spans="1:9">
      <c r="A212" s="1" t="s">
        <v>258</v>
      </c>
      <c r="B212" s="17">
        <f t="shared" si="13"/>
        <v>525399.8641645324</v>
      </c>
      <c r="D212" s="8">
        <f t="shared" si="14"/>
        <v>1.6416797013178475E-8</v>
      </c>
      <c r="F212" s="2">
        <f t="shared" si="12"/>
        <v>8.6253829207406721E-3</v>
      </c>
      <c r="H212" s="2">
        <f>SUM(F$4:F212)</f>
        <v>483.70065567749089</v>
      </c>
      <c r="I212" s="5" t="s">
        <v>776</v>
      </c>
    </row>
    <row r="213" spans="1:9">
      <c r="A213" s="1" t="s">
        <v>259</v>
      </c>
      <c r="B213" s="17">
        <f t="shared" si="13"/>
        <v>551669.85737275903</v>
      </c>
      <c r="D213" s="8">
        <f t="shared" si="14"/>
        <v>1.506128166346649E-8</v>
      </c>
      <c r="F213" s="2">
        <f t="shared" si="12"/>
        <v>8.3088551071355092E-3</v>
      </c>
      <c r="H213" s="2">
        <f>SUM(F$4:F213)</f>
        <v>483.70896453259803</v>
      </c>
      <c r="I213" s="5" t="s">
        <v>777</v>
      </c>
    </row>
    <row r="214" spans="1:9">
      <c r="A214" s="1" t="s">
        <v>260</v>
      </c>
      <c r="B214" s="17">
        <f t="shared" si="13"/>
        <v>579253.35024139704</v>
      </c>
      <c r="D214" s="8">
        <f t="shared" si="14"/>
        <v>1.3817689599510541E-8</v>
      </c>
      <c r="F214" s="2">
        <f t="shared" si="12"/>
        <v>8.003942993112188E-3</v>
      </c>
      <c r="H214" s="2">
        <f>SUM(F$4:F214)</f>
        <v>483.71696847559116</v>
      </c>
      <c r="I214" s="5" t="s">
        <v>778</v>
      </c>
    </row>
    <row r="215" spans="1:9">
      <c r="A215" s="1" t="s">
        <v>261</v>
      </c>
      <c r="B215" s="17">
        <f t="shared" si="13"/>
        <v>608216.01775346696</v>
      </c>
      <c r="D215" s="8">
        <f t="shared" si="14"/>
        <v>1.2676779449092239E-8</v>
      </c>
      <c r="F215" s="2">
        <f t="shared" si="12"/>
        <v>7.7102203144658703E-3</v>
      </c>
      <c r="H215" s="2">
        <f>SUM(F$4:F215)</f>
        <v>483.72467869590565</v>
      </c>
      <c r="I215" s="5" t="s">
        <v>779</v>
      </c>
    </row>
    <row r="216" spans="1:9">
      <c r="A216" s="1" t="s">
        <v>262</v>
      </c>
      <c r="B216" s="17">
        <f t="shared" si="13"/>
        <v>638626.81864114036</v>
      </c>
      <c r="D216" s="8">
        <f t="shared" si="14"/>
        <v>1.1630072889075448E-8</v>
      </c>
      <c r="F216" s="2">
        <f t="shared" si="12"/>
        <v>7.4272764497148296E-3</v>
      </c>
      <c r="H216" s="2">
        <f>SUM(F$4:F216)</f>
        <v>483.73210597235538</v>
      </c>
      <c r="I216" s="5" t="s">
        <v>780</v>
      </c>
    </row>
    <row r="217" spans="1:9">
      <c r="A217" s="1" t="s">
        <v>263</v>
      </c>
      <c r="B217" s="17">
        <f t="shared" si="13"/>
        <v>670558.15957319736</v>
      </c>
      <c r="D217" s="8">
        <f t="shared" si="14"/>
        <v>1.0669791641353621E-8</v>
      </c>
      <c r="F217" s="2">
        <f t="shared" si="12"/>
        <v>7.1547158460555692E-3</v>
      </c>
      <c r="H217" s="2">
        <f>SUM(F$4:F217)</f>
        <v>483.73926068820145</v>
      </c>
      <c r="I217" s="5" t="s">
        <v>781</v>
      </c>
    </row>
    <row r="218" spans="1:9">
      <c r="A218" s="1" t="s">
        <v>264</v>
      </c>
      <c r="B218" s="17">
        <f t="shared" si="13"/>
        <v>704086.06755185721</v>
      </c>
      <c r="D218" s="8">
        <f t="shared" si="14"/>
        <v>9.7887996709666237E-9</v>
      </c>
      <c r="F218" s="2">
        <f t="shared" si="12"/>
        <v>6.8921574663838043E-3</v>
      </c>
      <c r="H218" s="2">
        <f>SUM(F$4:F218)</f>
        <v>483.74615284566784</v>
      </c>
      <c r="I218" s="5" t="s">
        <v>782</v>
      </c>
    </row>
    <row r="219" spans="1:9">
      <c r="A219" s="1" t="s">
        <v>265</v>
      </c>
      <c r="B219" s="17">
        <f t="shared" si="13"/>
        <v>739290.37092945015</v>
      </c>
      <c r="D219" s="8">
        <f t="shared" si="14"/>
        <v>8.9805501568501135E-9</v>
      </c>
      <c r="F219" s="2">
        <f t="shared" si="12"/>
        <v>6.6392342566082519E-3</v>
      </c>
      <c r="H219" s="2">
        <f>SUM(F$4:F219)</f>
        <v>483.75279207992446</v>
      </c>
      <c r="I219" s="5" t="s">
        <v>783</v>
      </c>
    </row>
    <row r="220" spans="1:9">
      <c r="A220" s="1" t="s">
        <v>266</v>
      </c>
      <c r="B220" s="17">
        <f t="shared" si="13"/>
        <v>776254.88947592268</v>
      </c>
      <c r="D220" s="8">
        <f t="shared" si="14"/>
        <v>8.2390368411468922E-9</v>
      </c>
      <c r="F220" s="2">
        <f t="shared" si="12"/>
        <v>6.3955926325125357E-3</v>
      </c>
      <c r="H220" s="2">
        <f>SUM(F$4:F220)</f>
        <v>483.75918767255695</v>
      </c>
      <c r="I220" s="5" t="s">
        <v>784</v>
      </c>
    </row>
    <row r="221" spans="1:9">
      <c r="A221" s="1" t="s">
        <v>267</v>
      </c>
      <c r="B221" s="17">
        <f t="shared" si="13"/>
        <v>815067.6339497189</v>
      </c>
      <c r="D221" s="8">
        <f t="shared" si="14"/>
        <v>7.5587493955476073E-9</v>
      </c>
      <c r="F221" s="2">
        <f t="shared" si="12"/>
        <v>6.1608919854478561E-3</v>
      </c>
      <c r="H221" s="2">
        <f>SUM(F$4:F221)</f>
        <v>483.76534856454242</v>
      </c>
      <c r="I221" s="5" t="s">
        <v>785</v>
      </c>
    </row>
    <row r="222" spans="1:9">
      <c r="A222" s="1" t="s">
        <v>268</v>
      </c>
      <c r="B222" s="17">
        <f t="shared" si="13"/>
        <v>855821.01564720494</v>
      </c>
      <c r="D222" s="8">
        <f t="shared" si="14"/>
        <v>6.9346324729794555E-9</v>
      </c>
      <c r="F222" s="2">
        <f t="shared" si="12"/>
        <v>5.9348042061653661E-3</v>
      </c>
      <c r="H222" s="2">
        <f>SUM(F$4:F222)</f>
        <v>483.77128336874858</v>
      </c>
      <c r="I222" s="5" t="s">
        <v>786</v>
      </c>
    </row>
    <row r="223" spans="1:9">
      <c r="A223" s="1" t="s">
        <v>269</v>
      </c>
      <c r="B223" s="17">
        <f t="shared" si="13"/>
        <v>898612.06642956519</v>
      </c>
      <c r="D223" s="8">
        <f t="shared" si="14"/>
        <v>6.3620481403481239E-9</v>
      </c>
      <c r="F223" s="2">
        <f t="shared" si="12"/>
        <v>5.7170132261225998E-3</v>
      </c>
      <c r="H223" s="2">
        <f>SUM(F$4:F223)</f>
        <v>483.77700038197469</v>
      </c>
      <c r="I223" s="5" t="s">
        <v>787</v>
      </c>
    </row>
    <row r="224" spans="1:9">
      <c r="A224" s="1" t="s">
        <v>270</v>
      </c>
      <c r="B224" s="17">
        <f t="shared" si="13"/>
        <v>943542.66975104355</v>
      </c>
      <c r="D224" s="8">
        <f t="shared" si="14"/>
        <v>5.8367414131634163E-9</v>
      </c>
      <c r="F224" s="2">
        <f t="shared" si="12"/>
        <v>5.5072145756226883E-3</v>
      </c>
      <c r="H224" s="2">
        <f>SUM(F$4:F224)</f>
        <v>483.78250759655032</v>
      </c>
      <c r="I224" s="5" t="s">
        <v>788</v>
      </c>
    </row>
    <row r="225" spans="1:9">
      <c r="A225" s="1" t="s">
        <v>271</v>
      </c>
      <c r="B225" s="17">
        <f t="shared" si="13"/>
        <v>990719.80323859572</v>
      </c>
      <c r="D225" s="8">
        <f t="shared" si="14"/>
        <v>5.3548086359297397E-9</v>
      </c>
      <c r="F225" s="2">
        <f t="shared" si="12"/>
        <v>5.3051149581686448E-3</v>
      </c>
      <c r="H225" s="2">
        <f>SUM(F$4:F225)</f>
        <v>483.78781271150848</v>
      </c>
      <c r="I225" s="5" t="s">
        <v>789</v>
      </c>
    </row>
    <row r="226" spans="1:9">
      <c r="A226" s="1" t="s">
        <v>272</v>
      </c>
      <c r="B226" s="17">
        <f t="shared" si="13"/>
        <v>1040255.7934005256</v>
      </c>
      <c r="D226" s="8">
        <f t="shared" si="14"/>
        <v>4.9126684733300362E-9</v>
      </c>
      <c r="F226" s="2">
        <f t="shared" si="12"/>
        <v>5.1104318404376859E-3</v>
      </c>
      <c r="H226" s="2">
        <f>SUM(F$4:F226)</f>
        <v>483.7929231433489</v>
      </c>
      <c r="I226" s="5" t="s">
        <v>790</v>
      </c>
    </row>
    <row r="227" spans="1:9">
      <c r="A227" s="1" t="s">
        <v>273</v>
      </c>
      <c r="B227" s="17">
        <f t="shared" si="13"/>
        <v>1092268.583070552</v>
      </c>
      <c r="D227" s="8">
        <f t="shared" si="14"/>
        <v>4.5070352966330605E-9</v>
      </c>
      <c r="F227" s="2">
        <f t="shared" si="12"/>
        <v>4.9228930573023575E-3</v>
      </c>
      <c r="H227" s="2">
        <f>SUM(F$4:F227)</f>
        <v>483.79784603640621</v>
      </c>
      <c r="I227" s="5" t="s">
        <v>791</v>
      </c>
    </row>
    <row r="228" spans="1:9">
      <c r="A228" s="1" t="s">
        <v>274</v>
      </c>
      <c r="B228" s="17">
        <f t="shared" si="13"/>
        <v>1146882.0122240796</v>
      </c>
      <c r="D228" s="8">
        <f t="shared" si="14"/>
        <v>4.1348947675532663E-9</v>
      </c>
      <c r="F228" s="2">
        <f t="shared" si="12"/>
        <v>4.742236431346308E-3</v>
      </c>
      <c r="H228" s="2">
        <f>SUM(F$4:F228)</f>
        <v>483.80258827283757</v>
      </c>
      <c r="I228" s="5" t="s">
        <v>792</v>
      </c>
    </row>
    <row r="229" spans="1:9">
      <c r="A229" s="1" t="s">
        <v>275</v>
      </c>
      <c r="B229" s="17">
        <f t="shared" si="13"/>
        <v>1204226.1128352836</v>
      </c>
      <c r="D229" s="8">
        <f t="shared" si="14"/>
        <v>3.7934814381222622E-9</v>
      </c>
      <c r="F229" s="2">
        <f t="shared" si="12"/>
        <v>4.568209406342773E-3</v>
      </c>
      <c r="H229" s="2">
        <f>SUM(F$4:F229)</f>
        <v>483.8071564822439</v>
      </c>
      <c r="I229" s="5" t="s">
        <v>793</v>
      </c>
    </row>
    <row r="230" spans="1:9">
      <c r="A230" s="1" t="s">
        <v>276</v>
      </c>
      <c r="B230" s="17">
        <f t="shared" si="13"/>
        <v>1264437.4184770479</v>
      </c>
      <c r="D230" s="8">
        <f t="shared" si="14"/>
        <v>3.4802582001121669E-9</v>
      </c>
      <c r="F230" s="2">
        <f t="shared" si="12"/>
        <v>4.4005686941834057E-3</v>
      </c>
      <c r="H230" s="2">
        <f>SUM(F$4:F230)</f>
        <v>483.81155705093806</v>
      </c>
      <c r="I230" s="5" t="s">
        <v>794</v>
      </c>
    </row>
    <row r="231" spans="1:9">
      <c r="A231" s="1" t="s">
        <v>277</v>
      </c>
      <c r="B231" s="17">
        <f t="shared" si="13"/>
        <v>1327659.2894009005</v>
      </c>
      <c r="D231" s="8">
        <f t="shared" si="14"/>
        <v>3.1928974312955658E-9</v>
      </c>
      <c r="F231" s="2">
        <f t="shared" si="12"/>
        <v>4.2390799347638312E-3</v>
      </c>
      <c r="H231" s="2">
        <f>SUM(F$4:F231)</f>
        <v>483.81579613087285</v>
      </c>
      <c r="I231" s="5" t="s">
        <v>795</v>
      </c>
    </row>
    <row r="232" spans="1:9">
      <c r="A232" s="1" t="s">
        <v>278</v>
      </c>
      <c r="B232" s="17">
        <f t="shared" si="13"/>
        <v>1394042.2538709457</v>
      </c>
      <c r="D232" s="8">
        <f t="shared" si="14"/>
        <v>2.9292636984362988E-9</v>
      </c>
      <c r="F232" s="2">
        <f t="shared" si="12"/>
        <v>4.0835173683504804E-3</v>
      </c>
      <c r="H232" s="2">
        <f>SUM(F$4:F232)</f>
        <v>483.81987964824123</v>
      </c>
      <c r="I232" s="5" t="s">
        <v>796</v>
      </c>
    </row>
    <row r="233" spans="1:9">
      <c r="A233" s="1" t="s">
        <v>279</v>
      </c>
      <c r="B233" s="17">
        <f t="shared" si="13"/>
        <v>1463744.3665644929</v>
      </c>
      <c r="D233" s="8">
        <f t="shared" si="14"/>
        <v>2.6873978884736685E-9</v>
      </c>
      <c r="F233" s="2">
        <f t="shared" si="12"/>
        <v>3.933663519970646E-3</v>
      </c>
      <c r="H233" s="2">
        <f>SUM(F$4:F233)</f>
        <v>483.82381331176117</v>
      </c>
      <c r="I233" s="5" t="s">
        <v>797</v>
      </c>
    </row>
    <row r="234" spans="1:9">
      <c r="A234" s="1" t="s">
        <v>280</v>
      </c>
      <c r="B234" s="17">
        <f t="shared" si="13"/>
        <v>1536931.5848927177</v>
      </c>
      <c r="D234" s="8">
        <f t="shared" si="14"/>
        <v>2.4655026499758424E-9</v>
      </c>
      <c r="F234" s="2">
        <f t="shared" si="12"/>
        <v>3.7893088953845667E-3</v>
      </c>
      <c r="H234" s="2">
        <f>SUM(F$4:F234)</f>
        <v>483.82760262065653</v>
      </c>
      <c r="I234" s="5" t="s">
        <v>798</v>
      </c>
    </row>
    <row r="235" spans="1:9">
      <c r="A235" s="1" t="s">
        <v>281</v>
      </c>
      <c r="B235" s="17">
        <f t="shared" si="13"/>
        <v>1613778.1641373537</v>
      </c>
      <c r="D235" s="8">
        <f t="shared" si="14"/>
        <v>2.2619290366750848E-9</v>
      </c>
      <c r="F235" s="2">
        <f t="shared" si="12"/>
        <v>3.6502516882144912E-3</v>
      </c>
      <c r="H235" s="2">
        <f>SUM(F$4:F235)</f>
        <v>483.83125287234475</v>
      </c>
      <c r="I235" s="5" t="s">
        <v>799</v>
      </c>
    </row>
    <row r="236" spans="1:9">
      <c r="A236" s="1" t="s">
        <v>282</v>
      </c>
      <c r="B236" s="17">
        <f t="shared" si="13"/>
        <v>1694467.0723442214</v>
      </c>
      <c r="D236" s="8">
        <f t="shared" si="14"/>
        <v>2.0751642538303527E-9</v>
      </c>
      <c r="F236" s="2">
        <f t="shared" si="12"/>
        <v>3.5162974978212983E-3</v>
      </c>
      <c r="H236" s="2">
        <f>SUM(F$4:F236)</f>
        <v>483.83476916984256</v>
      </c>
      <c r="I236" s="5" t="s">
        <v>800</v>
      </c>
    </row>
    <row r="237" spans="1:9">
      <c r="A237" s="1" t="s">
        <v>283</v>
      </c>
      <c r="B237" s="17">
        <f t="shared" si="13"/>
        <v>1779190.4259614325</v>
      </c>
      <c r="D237" s="8">
        <f t="shared" si="14"/>
        <v>1.9038204163581214E-9</v>
      </c>
      <c r="F237" s="2">
        <f t="shared" si="12"/>
        <v>3.3872590575342778E-3</v>
      </c>
      <c r="H237" s="2">
        <f>SUM(F$4:F237)</f>
        <v>483.83815642890011</v>
      </c>
      <c r="I237" s="5" t="s">
        <v>801</v>
      </c>
    </row>
    <row r="238" spans="1:9">
      <c r="A238" s="1" t="s">
        <v>284</v>
      </c>
      <c r="B238" s="17">
        <f t="shared" si="13"/>
        <v>1868149.9472595041</v>
      </c>
      <c r="D238" s="8">
        <f t="shared" si="14"/>
        <v>1.7466242351909369E-9</v>
      </c>
      <c r="F238" s="2">
        <f t="shared" si="12"/>
        <v>3.2629559728541207E-3</v>
      </c>
      <c r="H238" s="2">
        <f>SUM(F$4:F238)</f>
        <v>483.84141938487295</v>
      </c>
      <c r="I238" s="5" t="s">
        <v>802</v>
      </c>
    </row>
    <row r="239" spans="1:9">
      <c r="A239" s="1" t="s">
        <v>285</v>
      </c>
      <c r="B239" s="17">
        <f t="shared" si="13"/>
        <v>1961557.4446224794</v>
      </c>
      <c r="D239" s="8">
        <f t="shared" si="14"/>
        <v>1.6024075552210429E-9</v>
      </c>
      <c r="F239" s="2">
        <f t="shared" si="12"/>
        <v>3.1432144692631436E-3</v>
      </c>
      <c r="H239" s="2">
        <f>SUM(F$4:F239)</f>
        <v>483.84456259934223</v>
      </c>
      <c r="I239" s="5" t="s">
        <v>803</v>
      </c>
    </row>
    <row r="240" spans="1:9">
      <c r="A240" s="1" t="s">
        <v>286</v>
      </c>
      <c r="B240" s="17">
        <f t="shared" si="13"/>
        <v>2059635.3168536033</v>
      </c>
      <c r="D240" s="8">
        <f t="shared" si="14"/>
        <v>1.4700986745147183E-9</v>
      </c>
      <c r="F240" s="2">
        <f t="shared" si="12"/>
        <v>3.027867149290184E-3</v>
      </c>
      <c r="H240" s="2">
        <f>SUM(F$4:F240)</f>
        <v>483.84759046649151</v>
      </c>
      <c r="I240" s="5" t="s">
        <v>804</v>
      </c>
    </row>
    <row r="241" spans="1:9">
      <c r="A241" s="1" t="s">
        <v>287</v>
      </c>
      <c r="B241" s="17">
        <f t="shared" si="13"/>
        <v>2162617.0826962837</v>
      </c>
      <c r="D241" s="8">
        <f t="shared" si="14"/>
        <v>1.3487143802887322E-9</v>
      </c>
      <c r="F241" s="2">
        <f t="shared" si="12"/>
        <v>2.9167527584905441E-3</v>
      </c>
      <c r="H241" s="2">
        <f>SUM(F$4:F241)</f>
        <v>483.85050721925001</v>
      </c>
      <c r="I241" s="5" t="s">
        <v>805</v>
      </c>
    </row>
    <row r="242" spans="1:9">
      <c r="A242" s="1" t="s">
        <v>288</v>
      </c>
      <c r="B242" s="17">
        <f t="shared" si="13"/>
        <v>2270747.936831098</v>
      </c>
      <c r="D242" s="8">
        <f t="shared" si="14"/>
        <v>1.2373526424667267E-9</v>
      </c>
      <c r="F242" s="2">
        <f t="shared" si="12"/>
        <v>2.8097159600138271E-3</v>
      </c>
      <c r="H242" s="2">
        <f>SUM(F$4:F242)</f>
        <v>483.85331693521005</v>
      </c>
      <c r="I242" s="5" t="s">
        <v>806</v>
      </c>
    </row>
    <row r="243" spans="1:9">
      <c r="A243" s="1" t="s">
        <v>289</v>
      </c>
      <c r="B243" s="17">
        <f t="shared" si="13"/>
        <v>2384285.333672653</v>
      </c>
      <c r="D243" s="8">
        <f t="shared" si="14"/>
        <v>1.1351859105199327E-9</v>
      </c>
      <c r="F243" s="2">
        <f t="shared" si="12"/>
        <v>2.7066071174445122E-3</v>
      </c>
      <c r="H243" s="2">
        <f>SUM(F$4:F243)</f>
        <v>483.85602354232748</v>
      </c>
      <c r="I243" s="5" t="s">
        <v>807</v>
      </c>
    </row>
    <row r="244" spans="1:9">
      <c r="A244" s="1" t="s">
        <v>290</v>
      </c>
      <c r="B244" s="17">
        <f t="shared" si="13"/>
        <v>2503499.6003562859</v>
      </c>
      <c r="D244" s="8">
        <f t="shared" si="14"/>
        <v>1.0414549637797548E-9</v>
      </c>
      <c r="F244" s="2">
        <f t="shared" si="12"/>
        <v>2.6072820856116864E-3</v>
      </c>
      <c r="H244" s="2">
        <f>SUM(F$4:F244)</f>
        <v>483.85863082441307</v>
      </c>
      <c r="I244" s="5" t="s">
        <v>808</v>
      </c>
    </row>
    <row r="245" spans="1:9">
      <c r="A245" s="1" t="s">
        <v>291</v>
      </c>
      <c r="B245" s="17">
        <f t="shared" si="13"/>
        <v>2628674.5803741002</v>
      </c>
      <c r="D245" s="8">
        <f t="shared" si="14"/>
        <v>9.5546326952271081E-10</v>
      </c>
      <c r="F245" s="2">
        <f t="shared" si="12"/>
        <v>2.5116020090754777E-3</v>
      </c>
      <c r="H245" s="2">
        <f>SUM(F$4:F245)</f>
        <v>483.86114242642213</v>
      </c>
      <c r="I245" s="5" t="s">
        <v>809</v>
      </c>
    </row>
    <row r="246" spans="1:9">
      <c r="A246" s="1" t="s">
        <v>292</v>
      </c>
      <c r="B246" s="17">
        <f t="shared" si="13"/>
        <v>2760108.3093928052</v>
      </c>
      <c r="D246" s="8">
        <f t="shared" si="14"/>
        <v>8.7657180690156951E-10</v>
      </c>
      <c r="F246" s="2">
        <f t="shared" si="12"/>
        <v>2.4194331280084874E-3</v>
      </c>
      <c r="H246" s="2">
        <f>SUM(F$4:F246)</f>
        <v>483.86356185955015</v>
      </c>
      <c r="I246" s="5" t="s">
        <v>810</v>
      </c>
    </row>
    <row r="247" spans="1:9">
      <c r="A247" s="1" t="s">
        <v>293</v>
      </c>
      <c r="B247" s="17">
        <f t="shared" si="13"/>
        <v>2898113.7248624456</v>
      </c>
      <c r="D247" s="8">
        <f t="shared" si="14"/>
        <v>8.0419431825832056E-10</v>
      </c>
      <c r="F247" s="2">
        <f t="shared" si="12"/>
        <v>2.3306465912008366E-3</v>
      </c>
      <c r="H247" s="2">
        <f>SUM(F$4:F247)</f>
        <v>483.86589250614134</v>
      </c>
      <c r="I247" s="5" t="s">
        <v>811</v>
      </c>
    </row>
    <row r="248" spans="1:9">
      <c r="A248" s="1" t="s">
        <v>294</v>
      </c>
      <c r="B248" s="17">
        <f t="shared" si="13"/>
        <v>3043019.4111055681</v>
      </c>
      <c r="D248" s="8">
        <f t="shared" si="14"/>
        <v>7.3779295253056925E-10</v>
      </c>
      <c r="F248" s="2">
        <f t="shared" si="12"/>
        <v>2.2451182759274111E-3</v>
      </c>
      <c r="H248" s="2">
        <f>SUM(F$4:F248)</f>
        <v>483.86813762441727</v>
      </c>
      <c r="I248" s="5" t="s">
        <v>812</v>
      </c>
    </row>
    <row r="249" spans="1:9">
      <c r="A249" s="1" t="s">
        <v>295</v>
      </c>
      <c r="B249" s="17">
        <f t="shared" si="13"/>
        <v>3195170.3816608465</v>
      </c>
      <c r="D249" s="8">
        <f t="shared" si="14"/>
        <v>6.7687426837666896E-10</v>
      </c>
      <c r="F249" s="2">
        <f t="shared" si="12"/>
        <v>2.1627286144254875E-3</v>
      </c>
      <c r="H249" s="2">
        <f>SUM(F$4:F249)</f>
        <v>483.87030035303172</v>
      </c>
      <c r="I249" s="5" t="s">
        <v>813</v>
      </c>
    </row>
    <row r="250" spans="1:9">
      <c r="A250" s="1" t="s">
        <v>296</v>
      </c>
      <c r="B250" s="17">
        <f t="shared" si="13"/>
        <v>3354928.9007438892</v>
      </c>
      <c r="D250" s="8">
        <f t="shared" si="14"/>
        <v>6.2098556731804487E-10</v>
      </c>
      <c r="F250" s="2">
        <f t="shared" si="12"/>
        <v>2.0833624267401485E-3</v>
      </c>
      <c r="H250" s="2">
        <f>SUM(F$4:F250)</f>
        <v>483.87238371545845</v>
      </c>
      <c r="I250" s="5" t="s">
        <v>814</v>
      </c>
    </row>
    <row r="251" spans="1:9">
      <c r="A251" s="1" t="s">
        <v>297</v>
      </c>
      <c r="B251" s="17">
        <f t="shared" si="13"/>
        <v>3522675.3457810837</v>
      </c>
      <c r="D251" s="8">
        <f t="shared" si="14"/>
        <v>5.6971152964958239E-10</v>
      </c>
      <c r="F251" s="2">
        <f t="shared" si="12"/>
        <v>2.0069087597038128E-3</v>
      </c>
      <c r="H251" s="2">
        <f>SUM(F$4:F251)</f>
        <v>483.87439062421817</v>
      </c>
      <c r="I251" s="5" t="s">
        <v>815</v>
      </c>
    </row>
    <row r="252" spans="1:9">
      <c r="A252" s="1" t="s">
        <v>298</v>
      </c>
      <c r="B252" s="17">
        <f t="shared" si="13"/>
        <v>3698809.1130701378</v>
      </c>
      <c r="D252" s="8">
        <f t="shared" si="14"/>
        <v>5.2267112811888291E-10</v>
      </c>
      <c r="F252" s="2">
        <f t="shared" si="12"/>
        <v>1.9332607318247738E-3</v>
      </c>
      <c r="H252" s="2">
        <f>SUM(F$4:F252)</f>
        <v>483.87632388495001</v>
      </c>
      <c r="I252" s="5" t="s">
        <v>816</v>
      </c>
    </row>
    <row r="253" spans="1:9">
      <c r="A253" s="1" t="s">
        <v>299</v>
      </c>
      <c r="B253" s="17">
        <f t="shared" si="13"/>
        <v>3883749.5687236451</v>
      </c>
      <c r="D253" s="8">
        <f t="shared" si="14"/>
        <v>4.7951479643934213E-10</v>
      </c>
      <c r="F253" s="2">
        <f t="shared" si="12"/>
        <v>1.8623153838679015E-3</v>
      </c>
      <c r="H253" s="2">
        <f>SUM(F$4:F253)</f>
        <v>483.87818620033386</v>
      </c>
      <c r="I253" s="5" t="s">
        <v>817</v>
      </c>
    </row>
    <row r="254" spans="1:9">
      <c r="A254" s="1" t="s">
        <v>300</v>
      </c>
      <c r="B254" s="17">
        <f t="shared" si="13"/>
        <v>4077937.0471598273</v>
      </c>
      <c r="D254" s="8">
        <f t="shared" si="14"/>
        <v>4.3992183159572668E-10</v>
      </c>
      <c r="F254" s="2">
        <f t="shared" si="12"/>
        <v>1.7939735349186204E-3</v>
      </c>
      <c r="H254" s="2">
        <f>SUM(F$4:F254)</f>
        <v>483.87998017386877</v>
      </c>
      <c r="I254" s="5" t="s">
        <v>818</v>
      </c>
    </row>
    <row r="255" spans="1:9">
      <c r="A255" s="1" t="s">
        <v>301</v>
      </c>
      <c r="B255" s="17">
        <f t="shared" si="13"/>
        <v>4281833.8995178193</v>
      </c>
      <c r="D255" s="8">
        <f t="shared" si="14"/>
        <v>4.0359801063828131E-10</v>
      </c>
      <c r="F255" s="2">
        <f t="shared" si="12"/>
        <v>1.7281396437289463E-3</v>
      </c>
      <c r="H255" s="2">
        <f>SUM(F$4:F255)</f>
        <v>483.88170831351249</v>
      </c>
      <c r="I255" s="5" t="s">
        <v>819</v>
      </c>
    </row>
    <row r="256" spans="1:9">
      <c r="A256" s="1" t="s">
        <v>302</v>
      </c>
      <c r="B256" s="17">
        <f t="shared" si="13"/>
        <v>4495925.5944937104</v>
      </c>
      <c r="D256" s="8">
        <f t="shared" si="14"/>
        <v>3.7027340425530395E-10</v>
      </c>
      <c r="F256" s="2">
        <f t="shared" si="12"/>
        <v>1.6647216751517373E-3</v>
      </c>
      <c r="H256" s="2">
        <f>SUM(F$4:F256)</f>
        <v>483.88337303518762</v>
      </c>
      <c r="I256" s="5" t="s">
        <v>820</v>
      </c>
    </row>
    <row r="257" spans="1:9">
      <c r="A257" s="1" t="s">
        <v>303</v>
      </c>
      <c r="B257" s="17">
        <f t="shared" si="13"/>
        <v>4720721.8742183959</v>
      </c>
      <c r="D257" s="8">
        <f t="shared" si="14"/>
        <v>3.3970037087642564E-10</v>
      </c>
      <c r="F257" s="2">
        <f t="shared" si="12"/>
        <v>1.6036309714764442E-3</v>
      </c>
      <c r="H257" s="2">
        <f>SUM(F$4:F257)</f>
        <v>483.8849766661591</v>
      </c>
      <c r="I257" s="5" t="s">
        <v>821</v>
      </c>
    </row>
    <row r="258" spans="1:9">
      <c r="A258" s="1" t="s">
        <v>304</v>
      </c>
      <c r="B258" s="17">
        <f t="shared" si="13"/>
        <v>4956757.9679293158</v>
      </c>
      <c r="D258" s="8">
        <f t="shared" si="14"/>
        <v>3.1165171640039046E-10</v>
      </c>
      <c r="F258" s="2">
        <f t="shared" si="12"/>
        <v>1.5447821284864827E-3</v>
      </c>
      <c r="H258" s="2">
        <f>SUM(F$4:F258)</f>
        <v>483.88652144828757</v>
      </c>
      <c r="I258" s="5" t="s">
        <v>822</v>
      </c>
    </row>
    <row r="259" spans="1:9">
      <c r="A259" s="1" t="s">
        <v>305</v>
      </c>
      <c r="B259" s="17">
        <f t="shared" si="13"/>
        <v>5204595.8663257817</v>
      </c>
      <c r="D259" s="8">
        <f t="shared" si="14"/>
        <v>2.8591900587191784E-10</v>
      </c>
      <c r="F259" s="2">
        <f t="shared" si="12"/>
        <v>1.4880928760649605E-3</v>
      </c>
      <c r="H259" s="2">
        <f>SUM(F$4:F259)</f>
        <v>483.88800954116363</v>
      </c>
      <c r="I259" s="5" t="s">
        <v>823</v>
      </c>
    </row>
    <row r="260" spans="1:9">
      <c r="A260" s="1" t="s">
        <v>306</v>
      </c>
      <c r="B260" s="17">
        <f t="shared" si="13"/>
        <v>5464825.6596420705</v>
      </c>
      <c r="D260" s="8">
        <f t="shared" si="14"/>
        <v>2.6231101456139252E-10</v>
      </c>
      <c r="F260" s="2">
        <f t="shared" si="12"/>
        <v>1.4334839631818426E-3</v>
      </c>
      <c r="H260" s="2">
        <f>SUM(F$4:F260)</f>
        <v>483.88944302512681</v>
      </c>
      <c r="I260" s="5" t="s">
        <v>824</v>
      </c>
    </row>
    <row r="261" spans="1:9">
      <c r="A261" s="1" t="s">
        <v>307</v>
      </c>
      <c r="B261" s="17">
        <f t="shared" si="13"/>
        <v>5738066.9426241741</v>
      </c>
      <c r="D261" s="8">
        <f t="shared" si="14"/>
        <v>2.4065230693705736E-10</v>
      </c>
      <c r="F261" s="2">
        <f t="shared" si="12"/>
        <v>1.380879047101775E-3</v>
      </c>
      <c r="H261" s="2">
        <f>SUM(F$4:F261)</f>
        <v>483.89082390417389</v>
      </c>
      <c r="I261" s="5" t="s">
        <v>825</v>
      </c>
    </row>
    <row r="262" spans="1:9">
      <c r="A262" s="1" t="s">
        <v>308</v>
      </c>
      <c r="B262" s="17">
        <f t="shared" si="13"/>
        <v>6024970.2897553826</v>
      </c>
      <c r="D262" s="8">
        <f t="shared" si="14"/>
        <v>2.2078193296977736E-10</v>
      </c>
      <c r="F262" s="2">
        <f t="shared" si="12"/>
        <v>1.3302045866576729E-3</v>
      </c>
      <c r="H262" s="2">
        <f>SUM(F$4:F262)</f>
        <v>483.89215410876056</v>
      </c>
      <c r="I262" s="5" t="s">
        <v>826</v>
      </c>
    </row>
    <row r="263" spans="1:9">
      <c r="A263" s="1" t="s">
        <v>309</v>
      </c>
      <c r="B263" s="17">
        <f t="shared" si="13"/>
        <v>6326218.804243152</v>
      </c>
      <c r="D263" s="8">
        <f t="shared" si="14"/>
        <v>2.0255223208236453E-10</v>
      </c>
      <c r="F263" s="2">
        <f t="shared" si="12"/>
        <v>1.2813897394408776E-3</v>
      </c>
      <c r="H263" s="2">
        <f>SUM(F$4:F263)</f>
        <v>483.89343549850003</v>
      </c>
      <c r="I263" s="5" t="s">
        <v>827</v>
      </c>
    </row>
    <row r="264" spans="1:9">
      <c r="A264" s="1" t="s">
        <v>310</v>
      </c>
      <c r="B264" s="17">
        <f t="shared" si="13"/>
        <v>6642529.7444553096</v>
      </c>
      <c r="D264" s="8">
        <f t="shared" si="14"/>
        <v>1.858277358553803E-10</v>
      </c>
      <c r="F264" s="2">
        <f t="shared" si="12"/>
        <v>1.2343662627641481E-3</v>
      </c>
      <c r="H264" s="2">
        <f>SUM(F$4:F264)</f>
        <v>483.89466986476276</v>
      </c>
      <c r="I264" s="5" t="s">
        <v>828</v>
      </c>
    </row>
    <row r="265" spans="1:9">
      <c r="A265" s="1" t="s">
        <v>311</v>
      </c>
      <c r="B265" s="17">
        <f t="shared" si="13"/>
        <v>6974656.2316780752</v>
      </c>
      <c r="D265" s="8">
        <f t="shared" si="14"/>
        <v>1.7048416133521128E-10</v>
      </c>
      <c r="F265" s="2">
        <f t="shared" si="12"/>
        <v>1.1890684182590417E-3</v>
      </c>
      <c r="H265" s="2">
        <f>SUM(F$4:F265)</f>
        <v>483.89585893318105</v>
      </c>
      <c r="I265" s="5" t="s">
        <v>829</v>
      </c>
    </row>
    <row r="266" spans="1:9">
      <c r="A266" s="1" t="s">
        <v>312</v>
      </c>
      <c r="B266" s="17">
        <f t="shared" si="13"/>
        <v>7323389.0432619788</v>
      </c>
      <c r="D266" s="8">
        <f t="shared" si="14"/>
        <v>1.5640748746349658E-10</v>
      </c>
      <c r="F266" s="2">
        <f t="shared" si="12"/>
        <v>1.1454328799743061E-3</v>
      </c>
      <c r="H266" s="2">
        <f>SUM(F$4:F266)</f>
        <v>483.89700436606103</v>
      </c>
      <c r="I266" s="5" t="s">
        <v>830</v>
      </c>
    </row>
    <row r="267" spans="1:9">
      <c r="A267" s="1" t="s">
        <v>313</v>
      </c>
      <c r="B267" s="17">
        <f t="shared" si="13"/>
        <v>7689558.4954250781</v>
      </c>
      <c r="D267" s="8">
        <f t="shared" si="14"/>
        <v>1.4349310776467575E-10</v>
      </c>
      <c r="F267" s="2">
        <f t="shared" si="12"/>
        <v>1.1033986458468086E-3</v>
      </c>
      <c r="H267" s="2">
        <f>SUM(F$4:F267)</f>
        <v>483.89810776470688</v>
      </c>
      <c r="I267" s="5" t="s">
        <v>831</v>
      </c>
    </row>
    <row r="268" spans="1:9">
      <c r="A268" s="1" t="s">
        <v>314</v>
      </c>
      <c r="B268" s="17">
        <f t="shared" si="13"/>
        <v>8074036.420196332</v>
      </c>
      <c r="D268" s="8">
        <f t="shared" si="14"/>
        <v>1.3164505299511536E-10</v>
      </c>
      <c r="F268" s="2">
        <f t="shared" si="12"/>
        <v>1.0629069524212375E-3</v>
      </c>
      <c r="H268" s="2">
        <f>SUM(F$4:F268)</f>
        <v>483.89917067165931</v>
      </c>
      <c r="I268" s="5" t="s">
        <v>832</v>
      </c>
    </row>
    <row r="269" spans="1:9">
      <c r="A269" s="1" t="s">
        <v>315</v>
      </c>
      <c r="B269" s="17">
        <f t="shared" si="13"/>
        <v>8477738.2412061486</v>
      </c>
      <c r="D269" s="8">
        <f t="shared" si="14"/>
        <v>1.2077527797717004E-10</v>
      </c>
      <c r="F269" s="2">
        <f t="shared" si="12"/>
        <v>1.0239011926993574E-3</v>
      </c>
      <c r="H269" s="2">
        <f>SUM(F$4:F269)</f>
        <v>483.900194572852</v>
      </c>
      <c r="I269" s="5" t="s">
        <v>833</v>
      </c>
    </row>
    <row r="270" spans="1:9">
      <c r="A270" s="1" t="s">
        <v>316</v>
      </c>
      <c r="B270" s="17">
        <f t="shared" si="13"/>
        <v>8901625.153266456</v>
      </c>
      <c r="D270" s="8">
        <f t="shared" si="14"/>
        <v>1.1080300731850462E-10</v>
      </c>
      <c r="F270" s="2">
        <f t="shared" si="12"/>
        <v>9.8632683700396791E-4</v>
      </c>
      <c r="H270" s="2">
        <f>SUM(F$4:F270)</f>
        <v>483.901180899689</v>
      </c>
      <c r="I270" s="5" t="s">
        <v>834</v>
      </c>
    </row>
    <row r="271" spans="1:9">
      <c r="A271" s="1" t="s">
        <v>317</v>
      </c>
      <c r="B271" s="17">
        <f t="shared" si="13"/>
        <v>9346706.4109297786</v>
      </c>
      <c r="D271" s="8">
        <f t="shared" si="14"/>
        <v>1.0165413515459139E-10</v>
      </c>
      <c r="F271" s="2">
        <f t="shared" si="12"/>
        <v>9.5013135674694156E-4</v>
      </c>
      <c r="H271" s="2">
        <f>SUM(F$4:F271)</f>
        <v>483.90213103104577</v>
      </c>
      <c r="I271" s="5" t="s">
        <v>835</v>
      </c>
    </row>
    <row r="272" spans="1:9">
      <c r="A272" s="1" t="s">
        <v>318</v>
      </c>
      <c r="B272" s="17">
        <f t="shared" si="13"/>
        <v>9814041.7314762678</v>
      </c>
      <c r="D272" s="8">
        <f t="shared" si="14"/>
        <v>9.3260674453753568E-11</v>
      </c>
      <c r="F272" s="2">
        <f t="shared" ref="F272:F335" si="15">B272*D272</f>
        <v>9.1526415099476015E-4</v>
      </c>
      <c r="H272" s="2">
        <f>SUM(F$4:F272)</f>
        <v>483.90304629519676</v>
      </c>
      <c r="I272" s="5" t="s">
        <v>836</v>
      </c>
    </row>
    <row r="273" spans="1:9">
      <c r="A273" s="1" t="s">
        <v>319</v>
      </c>
      <c r="B273" s="17">
        <f t="shared" ref="B273:B336" si="16">B272*(1+5%)</f>
        <v>10304743.818050081</v>
      </c>
      <c r="D273" s="8">
        <f t="shared" ref="D273:D336" si="17">D272/(1+9%)</f>
        <v>8.556025179243446E-11</v>
      </c>
      <c r="F273" s="2">
        <f t="shared" si="15"/>
        <v>8.8167647572889732E-4</v>
      </c>
      <c r="H273" s="2">
        <f>SUM(F$4:F273)</f>
        <v>483.90392797167249</v>
      </c>
      <c r="I273" s="5" t="s">
        <v>837</v>
      </c>
    </row>
    <row r="274" spans="1:9">
      <c r="A274" s="1" t="s">
        <v>320</v>
      </c>
      <c r="B274" s="17">
        <f t="shared" si="16"/>
        <v>10819981.008952586</v>
      </c>
      <c r="D274" s="8">
        <f t="shared" si="17"/>
        <v>7.8495643846270144E-11</v>
      </c>
      <c r="F274" s="2">
        <f t="shared" si="15"/>
        <v>8.4932137570214886E-4</v>
      </c>
      <c r="H274" s="2">
        <f>SUM(F$4:F274)</f>
        <v>483.9047772930482</v>
      </c>
      <c r="I274" s="5" t="s">
        <v>838</v>
      </c>
    </row>
    <row r="275" spans="1:9">
      <c r="A275" s="1" t="s">
        <v>321</v>
      </c>
      <c r="B275" s="17">
        <f t="shared" si="16"/>
        <v>11360980.059400216</v>
      </c>
      <c r="D275" s="8">
        <f t="shared" si="17"/>
        <v>7.2014352152541408E-11</v>
      </c>
      <c r="F275" s="2">
        <f t="shared" si="15"/>
        <v>8.1815361879564793E-4</v>
      </c>
      <c r="H275" s="2">
        <f>SUM(F$4:F275)</f>
        <v>483.90559544666701</v>
      </c>
      <c r="I275" s="5" t="s">
        <v>839</v>
      </c>
    </row>
    <row r="276" spans="1:9">
      <c r="A276" s="1" t="s">
        <v>322</v>
      </c>
      <c r="B276" s="17">
        <f t="shared" si="16"/>
        <v>11929029.062370228</v>
      </c>
      <c r="D276" s="8">
        <f t="shared" si="17"/>
        <v>6.6068212983982934E-11</v>
      </c>
      <c r="F276" s="2">
        <f t="shared" si="15"/>
        <v>7.8812963278479845E-4</v>
      </c>
      <c r="H276" s="2">
        <f>SUM(F$4:F276)</f>
        <v>483.90638357629979</v>
      </c>
      <c r="I276" s="5" t="s">
        <v>840</v>
      </c>
    </row>
    <row r="277" spans="1:9">
      <c r="A277" s="1" t="s">
        <v>323</v>
      </c>
      <c r="B277" s="17">
        <f t="shared" si="16"/>
        <v>12525480.51548874</v>
      </c>
      <c r="D277" s="8">
        <f t="shared" si="17"/>
        <v>6.0613039434846729E-11</v>
      </c>
      <c r="F277" s="2">
        <f t="shared" si="15"/>
        <v>7.5920744442572335E-4</v>
      </c>
      <c r="H277" s="2">
        <f>SUM(F$4:F277)</f>
        <v>483.90714278374423</v>
      </c>
      <c r="I277" s="5" t="s">
        <v>841</v>
      </c>
    </row>
    <row r="278" spans="1:9">
      <c r="A278" s="1" t="s">
        <v>324</v>
      </c>
      <c r="B278" s="17">
        <f t="shared" si="16"/>
        <v>13151754.541263178</v>
      </c>
      <c r="D278" s="8">
        <f t="shared" si="17"/>
        <v>5.5608293059492406E-11</v>
      </c>
      <c r="F278" s="2">
        <f t="shared" si="15"/>
        <v>7.3134662077707288E-4</v>
      </c>
      <c r="H278" s="2">
        <f>SUM(F$4:F278)</f>
        <v>483.90787413036503</v>
      </c>
      <c r="I278" s="5" t="s">
        <v>842</v>
      </c>
    </row>
    <row r="279" spans="1:9">
      <c r="A279" s="1" t="s">
        <v>325</v>
      </c>
      <c r="B279" s="17">
        <f t="shared" si="16"/>
        <v>13809342.268326338</v>
      </c>
      <c r="D279" s="8">
        <f t="shared" si="17"/>
        <v>5.1016782623387523E-11</v>
      </c>
      <c r="F279" s="2">
        <f t="shared" si="15"/>
        <v>7.0450821267516194E-4</v>
      </c>
      <c r="H279" s="2">
        <f>SUM(F$4:F279)</f>
        <v>483.90857863857769</v>
      </c>
      <c r="I279" s="5" t="s">
        <v>843</v>
      </c>
    </row>
    <row r="280" spans="1:9">
      <c r="A280" s="1" t="s">
        <v>326</v>
      </c>
      <c r="B280" s="17">
        <f t="shared" si="16"/>
        <v>14499809.381742656</v>
      </c>
      <c r="D280" s="8">
        <f t="shared" si="17"/>
        <v>4.6804387727878461E-11</v>
      </c>
      <c r="F280" s="2">
        <f t="shared" si="15"/>
        <v>6.7865470028341296E-4</v>
      </c>
      <c r="H280" s="2">
        <f>SUM(F$4:F280)</f>
        <v>483.90925729327796</v>
      </c>
      <c r="I280" s="5" t="s">
        <v>844</v>
      </c>
    </row>
    <row r="281" spans="1:9">
      <c r="A281" s="1" t="s">
        <v>327</v>
      </c>
      <c r="B281" s="17">
        <f t="shared" si="16"/>
        <v>15224799.850829789</v>
      </c>
      <c r="D281" s="8">
        <f t="shared" si="17"/>
        <v>4.2939805254934363E-11</v>
      </c>
      <c r="F281" s="2">
        <f t="shared" si="15"/>
        <v>6.5374994063998487E-4</v>
      </c>
      <c r="H281" s="2">
        <f>SUM(F$4:F281)</f>
        <v>483.90991104321859</v>
      </c>
      <c r="I281" s="5" t="s">
        <v>845</v>
      </c>
    </row>
    <row r="282" spans="1:9">
      <c r="A282" s="1" t="s">
        <v>328</v>
      </c>
      <c r="B282" s="17">
        <f t="shared" si="16"/>
        <v>15986039.84337128</v>
      </c>
      <c r="D282" s="8">
        <f t="shared" si="17"/>
        <v>3.9394316747646204E-11</v>
      </c>
      <c r="F282" s="2">
        <f t="shared" si="15"/>
        <v>6.297591171302607E-4</v>
      </c>
      <c r="H282" s="2">
        <f>SUM(F$4:F282)</f>
        <v>483.91054080233573</v>
      </c>
      <c r="I282" s="5" t="s">
        <v>846</v>
      </c>
    </row>
    <row r="283" spans="1:9">
      <c r="A283" s="1" t="s">
        <v>329</v>
      </c>
      <c r="B283" s="17">
        <f t="shared" si="16"/>
        <v>16785341.835539844</v>
      </c>
      <c r="D283" s="8">
        <f t="shared" si="17"/>
        <v>3.614157499784055E-11</v>
      </c>
      <c r="F283" s="2">
        <f t="shared" si="15"/>
        <v>6.0664869081355382E-4</v>
      </c>
      <c r="H283" s="2">
        <f>SUM(F$4:F283)</f>
        <v>483.91114745102652</v>
      </c>
      <c r="I283" s="5" t="s">
        <v>847</v>
      </c>
    </row>
    <row r="284" spans="1:9">
      <c r="A284" s="1" t="s">
        <v>330</v>
      </c>
      <c r="B284" s="17">
        <f t="shared" si="16"/>
        <v>17624608.927316837</v>
      </c>
      <c r="D284" s="8">
        <f t="shared" si="17"/>
        <v>3.3157408254899585E-11</v>
      </c>
      <c r="F284" s="2">
        <f t="shared" si="15"/>
        <v>5.8438635353599225E-4</v>
      </c>
      <c r="H284" s="2">
        <f>SUM(F$4:F284)</f>
        <v>483.91173183738005</v>
      </c>
      <c r="I284" s="5" t="s">
        <v>848</v>
      </c>
    </row>
    <row r="285" spans="1:9">
      <c r="A285" s="1" t="s">
        <v>331</v>
      </c>
      <c r="B285" s="17">
        <f t="shared" si="16"/>
        <v>18505839.373682681</v>
      </c>
      <c r="D285" s="8">
        <f t="shared" si="17"/>
        <v>3.0419640600825303E-11</v>
      </c>
      <c r="F285" s="2">
        <f t="shared" si="15"/>
        <v>5.6294098276402917E-4</v>
      </c>
      <c r="H285" s="2">
        <f>SUM(F$4:F285)</f>
        <v>483.91229477836282</v>
      </c>
      <c r="I285" s="5" t="s">
        <v>849</v>
      </c>
    </row>
    <row r="286" spans="1:9">
      <c r="A286" s="1" t="s">
        <v>332</v>
      </c>
      <c r="B286" s="17">
        <f t="shared" si="16"/>
        <v>19431131.342366815</v>
      </c>
      <c r="D286" s="8">
        <f t="shared" si="17"/>
        <v>2.7907927156720459E-11</v>
      </c>
      <c r="F286" s="2">
        <f t="shared" si="15"/>
        <v>5.4228259807544089E-4</v>
      </c>
      <c r="H286" s="2">
        <f>SUM(F$4:F286)</f>
        <v>483.9128370609609</v>
      </c>
      <c r="I286" s="5" t="s">
        <v>850</v>
      </c>
    </row>
    <row r="287" spans="1:9">
      <c r="A287" s="1" t="s">
        <v>333</v>
      </c>
      <c r="B287" s="17">
        <f t="shared" si="16"/>
        <v>20402687.909485158</v>
      </c>
      <c r="D287" s="8">
        <f t="shared" si="17"/>
        <v>2.5603602896073813E-11</v>
      </c>
      <c r="F287" s="2">
        <f t="shared" si="15"/>
        <v>5.2238231924698437E-4</v>
      </c>
      <c r="H287" s="2">
        <f>SUM(F$4:F287)</f>
        <v>483.91335944328017</v>
      </c>
      <c r="I287" s="5" t="s">
        <v>851</v>
      </c>
    </row>
    <row r="288" spans="1:9">
      <c r="A288" s="1" t="s">
        <v>334</v>
      </c>
      <c r="B288" s="17">
        <f t="shared" si="16"/>
        <v>21422822.304959416</v>
      </c>
      <c r="D288" s="8">
        <f t="shared" si="17"/>
        <v>2.3489543941352119E-11</v>
      </c>
      <c r="F288" s="2">
        <f t="shared" si="15"/>
        <v>5.0321232588012253E-4</v>
      </c>
      <c r="H288" s="2">
        <f>SUM(F$4:F288)</f>
        <v>483.91386265560607</v>
      </c>
      <c r="I288" s="5" t="s">
        <v>852</v>
      </c>
    </row>
    <row r="289" spans="1:9">
      <c r="A289" s="1" t="s">
        <v>335</v>
      </c>
      <c r="B289" s="17">
        <f t="shared" si="16"/>
        <v>22493963.420207389</v>
      </c>
      <c r="D289" s="8">
        <f t="shared" si="17"/>
        <v>2.155004031316708E-11</v>
      </c>
      <c r="F289" s="2">
        <f t="shared" si="15"/>
        <v>4.8474581850837487E-4</v>
      </c>
      <c r="H289" s="2">
        <f>SUM(F$4:F289)</f>
        <v>483.91434740142455</v>
      </c>
      <c r="I289" s="5" t="s">
        <v>853</v>
      </c>
    </row>
    <row r="290" spans="1:9">
      <c r="A290" s="1" t="s">
        <v>336</v>
      </c>
      <c r="B290" s="17">
        <f t="shared" si="16"/>
        <v>23618661.59121776</v>
      </c>
      <c r="D290" s="8">
        <f t="shared" si="17"/>
        <v>1.9770679186391814E-11</v>
      </c>
      <c r="F290" s="2">
        <f t="shared" si="15"/>
        <v>4.6695698113192075E-4</v>
      </c>
      <c r="H290" s="2">
        <f>SUM(F$4:F290)</f>
        <v>483.91481435840569</v>
      </c>
      <c r="I290" s="5" t="s">
        <v>854</v>
      </c>
    </row>
    <row r="291" spans="1:9">
      <c r="A291" s="1" t="s">
        <v>337</v>
      </c>
      <c r="B291" s="17">
        <f t="shared" si="16"/>
        <v>24799594.670778651</v>
      </c>
      <c r="D291" s="8">
        <f t="shared" si="17"/>
        <v>1.8138237785680562E-11</v>
      </c>
      <c r="F291" s="2">
        <f t="shared" si="15"/>
        <v>4.498209451270796E-4</v>
      </c>
      <c r="H291" s="2">
        <f>SUM(F$4:F291)</f>
        <v>483.9152641793508</v>
      </c>
      <c r="I291" s="5" t="s">
        <v>855</v>
      </c>
    </row>
    <row r="292" spans="1:9">
      <c r="A292" s="1" t="s">
        <v>338</v>
      </c>
      <c r="B292" s="17">
        <f t="shared" si="16"/>
        <v>26039574.404317584</v>
      </c>
      <c r="D292" s="8">
        <f t="shared" si="17"/>
        <v>1.6640585124477578E-11</v>
      </c>
      <c r="F292" s="2">
        <f t="shared" si="15"/>
        <v>4.3331375448021431E-4</v>
      </c>
      <c r="H292" s="2">
        <f>SUM(F$4:F292)</f>
        <v>483.91569749310526</v>
      </c>
      <c r="I292" s="5" t="s">
        <v>856</v>
      </c>
    </row>
    <row r="293" spans="1:9">
      <c r="A293" s="1" t="s">
        <v>339</v>
      </c>
      <c r="B293" s="17">
        <f t="shared" si="16"/>
        <v>27341553.124533463</v>
      </c>
      <c r="D293" s="8">
        <f t="shared" si="17"/>
        <v>1.5266591857318879E-11</v>
      </c>
      <c r="F293" s="2">
        <f t="shared" si="15"/>
        <v>4.1741233229745413E-4</v>
      </c>
      <c r="H293" s="2">
        <f>SUM(F$4:F293)</f>
        <v>483.91611490543755</v>
      </c>
      <c r="I293" s="5" t="s">
        <v>857</v>
      </c>
    </row>
    <row r="294" spans="1:9">
      <c r="A294" s="1" t="s">
        <v>340</v>
      </c>
      <c r="B294" s="17">
        <f t="shared" si="16"/>
        <v>28708630.780760139</v>
      </c>
      <c r="D294" s="8">
        <f t="shared" si="17"/>
        <v>1.4006047575521906E-11</v>
      </c>
      <c r="F294" s="2">
        <f t="shared" si="15"/>
        <v>4.0209444854341913E-4</v>
      </c>
      <c r="H294" s="2">
        <f>SUM(F$4:F294)</f>
        <v>483.91651699988608</v>
      </c>
      <c r="I294" s="5" t="s">
        <v>858</v>
      </c>
    </row>
    <row r="295" spans="1:9">
      <c r="A295" s="1" t="s">
        <v>341</v>
      </c>
      <c r="B295" s="17">
        <f t="shared" si="16"/>
        <v>30144062.319798149</v>
      </c>
      <c r="D295" s="8">
        <f t="shared" si="17"/>
        <v>1.2849584931671473E-11</v>
      </c>
      <c r="F295" s="2">
        <f t="shared" si="15"/>
        <v>3.8733868896384413E-4</v>
      </c>
      <c r="H295" s="2">
        <f>SUM(F$4:F295)</f>
        <v>483.91690433857502</v>
      </c>
      <c r="I295" s="5" t="s">
        <v>859</v>
      </c>
    </row>
    <row r="296" spans="1:9">
      <c r="A296" s="1" t="s">
        <v>342</v>
      </c>
      <c r="B296" s="17">
        <f t="shared" si="16"/>
        <v>31651265.435788058</v>
      </c>
      <c r="D296" s="8">
        <f t="shared" si="17"/>
        <v>1.1788610029056397E-11</v>
      </c>
      <c r="F296" s="2">
        <f t="shared" si="15"/>
        <v>3.7312442514865718E-4</v>
      </c>
      <c r="H296" s="2">
        <f>SUM(F$4:F296)</f>
        <v>483.91727746300018</v>
      </c>
      <c r="I296" s="5" t="s">
        <v>860</v>
      </c>
    </row>
    <row r="297" spans="1:9">
      <c r="A297" s="1" t="s">
        <v>343</v>
      </c>
      <c r="B297" s="17">
        <f t="shared" si="16"/>
        <v>33233828.707577463</v>
      </c>
      <c r="D297" s="8">
        <f t="shared" si="17"/>
        <v>1.0815238558767336E-11</v>
      </c>
      <c r="F297" s="2">
        <f t="shared" si="15"/>
        <v>3.5943178569366064E-4</v>
      </c>
      <c r="H297" s="2">
        <f>SUM(F$4:F297)</f>
        <v>483.91763689478586</v>
      </c>
      <c r="I297" s="5" t="s">
        <v>861</v>
      </c>
    </row>
    <row r="298" spans="1:9">
      <c r="A298" s="1" t="s">
        <v>344</v>
      </c>
      <c r="B298" s="17">
        <f t="shared" si="16"/>
        <v>34895520.142956339</v>
      </c>
      <c r="D298" s="8">
        <f t="shared" si="17"/>
        <v>9.9222372098782898E-12</v>
      </c>
      <c r="F298" s="2">
        <f t="shared" si="15"/>
        <v>3.4624162842049875E-4</v>
      </c>
      <c r="H298" s="2">
        <f>SUM(F$4:F298)</f>
        <v>483.91798313641425</v>
      </c>
      <c r="I298" s="5" t="s">
        <v>862</v>
      </c>
    </row>
    <row r="299" spans="1:9">
      <c r="A299" s="1" t="s">
        <v>345</v>
      </c>
      <c r="B299" s="17">
        <f t="shared" si="16"/>
        <v>36640296.150104158</v>
      </c>
      <c r="D299" s="8">
        <f t="shared" si="17"/>
        <v>9.1029699173195318E-12</v>
      </c>
      <c r="F299" s="2">
        <f t="shared" si="15"/>
        <v>3.3353551361607679E-4</v>
      </c>
      <c r="H299" s="2">
        <f>SUM(F$4:F299)</f>
        <v>483.91831667192787</v>
      </c>
      <c r="I299" s="5" t="s">
        <v>863</v>
      </c>
    </row>
    <row r="300" spans="1:9">
      <c r="A300" s="1" t="s">
        <v>346</v>
      </c>
      <c r="B300" s="17">
        <f t="shared" si="16"/>
        <v>38472310.95760937</v>
      </c>
      <c r="D300" s="8">
        <f t="shared" si="17"/>
        <v>8.351348547999569E-12</v>
      </c>
      <c r="F300" s="2">
        <f t="shared" si="15"/>
        <v>3.212956782540189E-4</v>
      </c>
      <c r="H300" s="2">
        <f>SUM(F$4:F300)</f>
        <v>483.91863796760612</v>
      </c>
      <c r="I300" s="5" t="s">
        <v>864</v>
      </c>
    </row>
    <row r="301" spans="1:9">
      <c r="A301" s="1" t="s">
        <v>347</v>
      </c>
      <c r="B301" s="17">
        <f t="shared" si="16"/>
        <v>40395926.505489841</v>
      </c>
      <c r="D301" s="8">
        <f t="shared" si="17"/>
        <v>7.6617876587151996E-12</v>
      </c>
      <c r="F301" s="2">
        <f t="shared" si="15"/>
        <v>3.0950501116212831E-4</v>
      </c>
      <c r="H301" s="2">
        <f>SUM(F$4:F301)</f>
        <v>483.91894747261728</v>
      </c>
      <c r="I301" s="5" t="s">
        <v>865</v>
      </c>
    </row>
    <row r="302" spans="1:9">
      <c r="A302" s="1" t="s">
        <v>348</v>
      </c>
      <c r="B302" s="17">
        <f t="shared" si="16"/>
        <v>42415722.830764338</v>
      </c>
      <c r="D302" s="8">
        <f t="shared" si="17"/>
        <v>7.0291629896469715E-12</v>
      </c>
      <c r="F302" s="2">
        <f t="shared" si="15"/>
        <v>2.9814702910113276E-4</v>
      </c>
      <c r="H302" s="2">
        <f>SUM(F$4:F302)</f>
        <v>483.9192456196464</v>
      </c>
      <c r="I302" s="5" t="s">
        <v>866</v>
      </c>
    </row>
    <row r="303" spans="1:9">
      <c r="A303" s="1" t="s">
        <v>349</v>
      </c>
      <c r="B303" s="17">
        <f t="shared" si="16"/>
        <v>44536508.972302556</v>
      </c>
      <c r="D303" s="8">
        <f t="shared" si="17"/>
        <v>6.4487733849972214E-12</v>
      </c>
      <c r="F303" s="2">
        <f t="shared" si="15"/>
        <v>2.8720585372127468E-4</v>
      </c>
      <c r="H303" s="2">
        <f>SUM(F$4:F303)</f>
        <v>483.91953282550014</v>
      </c>
      <c r="I303" s="5" t="s">
        <v>867</v>
      </c>
    </row>
    <row r="304" spans="1:9">
      <c r="A304" s="1" t="s">
        <v>350</v>
      </c>
      <c r="B304" s="17">
        <f t="shared" si="16"/>
        <v>46763334.420917682</v>
      </c>
      <c r="D304" s="8">
        <f t="shared" si="17"/>
        <v>5.9163058577956157E-12</v>
      </c>
      <c r="F304" s="2">
        <f t="shared" si="15"/>
        <v>2.7666618936453063E-4</v>
      </c>
      <c r="H304" s="2">
        <f>SUM(F$4:F304)</f>
        <v>483.91980949168953</v>
      </c>
      <c r="I304" s="5" t="s">
        <v>868</v>
      </c>
    </row>
    <row r="305" spans="1:9">
      <c r="A305" s="1" t="s">
        <v>351</v>
      </c>
      <c r="B305" s="17">
        <f t="shared" si="16"/>
        <v>49101501.141963571</v>
      </c>
      <c r="D305" s="8">
        <f t="shared" si="17"/>
        <v>5.427803539262032E-12</v>
      </c>
      <c r="F305" s="2">
        <f t="shared" si="15"/>
        <v>2.6651330168142861E-4</v>
      </c>
      <c r="H305" s="2">
        <f>SUM(F$4:F305)</f>
        <v>483.92007600499119</v>
      </c>
      <c r="I305" s="5" t="s">
        <v>869</v>
      </c>
    </row>
    <row r="306" spans="1:9">
      <c r="A306" s="1" t="s">
        <v>352</v>
      </c>
      <c r="B306" s="17">
        <f t="shared" si="16"/>
        <v>51556576.199061751</v>
      </c>
      <c r="D306" s="8">
        <f t="shared" si="17"/>
        <v>4.9796362745523227E-12</v>
      </c>
      <c r="F306" s="2">
        <f t="shared" si="15"/>
        <v>2.5673299703256883E-4</v>
      </c>
      <c r="H306" s="2">
        <f>SUM(F$4:F306)</f>
        <v>483.92033273798825</v>
      </c>
      <c r="I306" s="5" t="s">
        <v>870</v>
      </c>
    </row>
    <row r="307" spans="1:9">
      <c r="A307" s="1" t="s">
        <v>353</v>
      </c>
      <c r="B307" s="17">
        <f t="shared" si="16"/>
        <v>54134405.009014845</v>
      </c>
      <c r="D307" s="8">
        <f t="shared" si="17"/>
        <v>4.5684736463782772E-12</v>
      </c>
      <c r="F307" s="2">
        <f t="shared" si="15"/>
        <v>2.4731160264605253E-4</v>
      </c>
      <c r="H307" s="2">
        <f>SUM(F$4:F307)</f>
        <v>483.92058004959091</v>
      </c>
      <c r="I307" s="5" t="s">
        <v>871</v>
      </c>
    </row>
    <row r="308" spans="1:9">
      <c r="A308" s="1" t="s">
        <v>354</v>
      </c>
      <c r="B308" s="17">
        <f t="shared" si="16"/>
        <v>56841125.25946559</v>
      </c>
      <c r="D308" s="8">
        <f t="shared" si="17"/>
        <v>4.1912602260351166E-12</v>
      </c>
      <c r="F308" s="2">
        <f t="shared" si="15"/>
        <v>2.3823594750307811E-4</v>
      </c>
      <c r="H308" s="2">
        <f>SUM(F$4:F308)</f>
        <v>483.92081828553842</v>
      </c>
      <c r="I308" s="5" t="s">
        <v>872</v>
      </c>
    </row>
    <row r="309" spans="1:9">
      <c r="A309" s="1" t="s">
        <v>355</v>
      </c>
      <c r="B309" s="17">
        <f t="shared" si="16"/>
        <v>59683181.522438869</v>
      </c>
      <c r="D309" s="8">
        <f t="shared" si="17"/>
        <v>3.8451928679221246E-12</v>
      </c>
      <c r="F309" s="2">
        <f t="shared" si="15"/>
        <v>2.2949334392498348E-4</v>
      </c>
      <c r="H309" s="2">
        <f>SUM(F$4:F309)</f>
        <v>483.92104777888233</v>
      </c>
      <c r="I309" s="5" t="s">
        <v>873</v>
      </c>
    </row>
    <row r="310" spans="1:9">
      <c r="A310" s="1" t="s">
        <v>356</v>
      </c>
      <c r="B310" s="17">
        <f t="shared" si="16"/>
        <v>62667340.598560818</v>
      </c>
      <c r="D310" s="8">
        <f t="shared" si="17"/>
        <v>3.5276998788276369E-12</v>
      </c>
      <c r="F310" s="2">
        <f t="shared" si="15"/>
        <v>2.2107156983599324E-4</v>
      </c>
      <c r="H310" s="2">
        <f>SUM(F$4:F310)</f>
        <v>483.92126885045218</v>
      </c>
      <c r="I310" s="5" t="s">
        <v>874</v>
      </c>
    </row>
    <row r="311" spans="1:9">
      <c r="A311" s="1" t="s">
        <v>357</v>
      </c>
      <c r="B311" s="17">
        <f t="shared" si="16"/>
        <v>65800707.628488861</v>
      </c>
      <c r="D311" s="8">
        <f t="shared" si="17"/>
        <v>3.2364219071813179E-12</v>
      </c>
      <c r="F311" s="2">
        <f t="shared" si="15"/>
        <v>2.1295885167687422E-4</v>
      </c>
      <c r="H311" s="2">
        <f>SUM(F$4:F311)</f>
        <v>483.92148180930388</v>
      </c>
      <c r="I311" s="5" t="s">
        <v>875</v>
      </c>
    </row>
    <row r="312" spans="1:9">
      <c r="A312" s="1" t="s">
        <v>358</v>
      </c>
      <c r="B312" s="17">
        <f t="shared" si="16"/>
        <v>69090743.00991331</v>
      </c>
      <c r="D312" s="8">
        <f t="shared" si="17"/>
        <v>2.9691944102580896E-12</v>
      </c>
      <c r="F312" s="2">
        <f t="shared" si="15"/>
        <v>2.0514384794561278E-4</v>
      </c>
      <c r="H312" s="2">
        <f>SUM(F$4:F312)</f>
        <v>483.92168695315183</v>
      </c>
      <c r="I312" s="5" t="s">
        <v>876</v>
      </c>
    </row>
    <row r="313" spans="1:9">
      <c r="A313" s="1" t="s">
        <v>359</v>
      </c>
      <c r="B313" s="17">
        <f t="shared" si="16"/>
        <v>72545280.160408974</v>
      </c>
      <c r="D313" s="8">
        <f t="shared" si="17"/>
        <v>2.7240315690441188E-12</v>
      </c>
      <c r="F313" s="2">
        <f t="shared" si="15"/>
        <v>1.9761563334210405E-4</v>
      </c>
      <c r="H313" s="2">
        <f>SUM(F$4:F313)</f>
        <v>483.92188456878517</v>
      </c>
      <c r="I313" s="5" t="s">
        <v>877</v>
      </c>
    </row>
    <row r="314" spans="1:9">
      <c r="A314" s="1" t="s">
        <v>360</v>
      </c>
      <c r="B314" s="17">
        <f t="shared" si="16"/>
        <v>76172544.168429419</v>
      </c>
      <c r="D314" s="8">
        <f t="shared" si="17"/>
        <v>2.4991115312331362E-12</v>
      </c>
      <c r="F314" s="2">
        <f t="shared" si="15"/>
        <v>1.9036368349468734E-4</v>
      </c>
      <c r="H314" s="2">
        <f>SUM(F$4:F314)</f>
        <v>483.92207493246866</v>
      </c>
      <c r="I314" s="5" t="s">
        <v>878</v>
      </c>
    </row>
    <row r="315" spans="1:9">
      <c r="A315" s="1" t="s">
        <v>361</v>
      </c>
      <c r="B315" s="17">
        <f t="shared" si="16"/>
        <v>79981171.376850888</v>
      </c>
      <c r="D315" s="8">
        <f t="shared" si="17"/>
        <v>2.2927628726909504E-12</v>
      </c>
      <c r="F315" s="2">
        <f t="shared" si="15"/>
        <v>1.8337786024717585E-4</v>
      </c>
      <c r="H315" s="2">
        <f>SUM(F$4:F315)</f>
        <v>483.92225831032891</v>
      </c>
      <c r="I315" s="5" t="s">
        <v>879</v>
      </c>
    </row>
    <row r="316" spans="1:9">
      <c r="A316" s="1" t="s">
        <v>362</v>
      </c>
      <c r="B316" s="17">
        <f t="shared" si="16"/>
        <v>83980229.945693433</v>
      </c>
      <c r="D316" s="8">
        <f t="shared" si="17"/>
        <v>2.1034521767806884E-12</v>
      </c>
      <c r="F316" s="2">
        <f t="shared" si="15"/>
        <v>1.7664839748581161E-4</v>
      </c>
      <c r="H316" s="2">
        <f>SUM(F$4:F316)</f>
        <v>483.9224349587264</v>
      </c>
      <c r="I316" s="5" t="s">
        <v>880</v>
      </c>
    </row>
    <row r="317" spans="1:9">
      <c r="A317" s="1" t="s">
        <v>363</v>
      </c>
      <c r="B317" s="17">
        <f t="shared" si="16"/>
        <v>88179241.442978114</v>
      </c>
      <c r="D317" s="8">
        <f t="shared" si="17"/>
        <v>1.929772639248338E-12</v>
      </c>
      <c r="F317" s="2">
        <f t="shared" si="15"/>
        <v>1.7016588748633229E-4</v>
      </c>
      <c r="H317" s="2">
        <f>SUM(F$4:F317)</f>
        <v>483.92260512461388</v>
      </c>
      <c r="I317" s="5" t="s">
        <v>881</v>
      </c>
    </row>
    <row r="318" spans="1:9">
      <c r="A318" s="1" t="s">
        <v>364</v>
      </c>
      <c r="B318" s="17">
        <f t="shared" si="16"/>
        <v>92588203.515127018</v>
      </c>
      <c r="D318" s="8">
        <f t="shared" si="17"/>
        <v>1.7704336139893008E-12</v>
      </c>
      <c r="F318" s="2">
        <f t="shared" si="15"/>
        <v>1.639212677620632E-4</v>
      </c>
      <c r="H318" s="2">
        <f>SUM(F$4:F318)</f>
        <v>483.92276904588164</v>
      </c>
      <c r="I318" s="5" t="s">
        <v>882</v>
      </c>
    </row>
    <row r="319" spans="1:9">
      <c r="A319" s="1" t="s">
        <v>365</v>
      </c>
      <c r="B319" s="17">
        <f t="shared" si="16"/>
        <v>97217613.690883368</v>
      </c>
      <c r="D319" s="8">
        <f t="shared" si="17"/>
        <v>1.6242510220085327E-12</v>
      </c>
      <c r="F319" s="2">
        <f t="shared" si="15"/>
        <v>1.5790580839464803E-4</v>
      </c>
      <c r="H319" s="2">
        <f>SUM(F$4:F319)</f>
        <v>483.92292695169004</v>
      </c>
      <c r="I319" s="5" t="s">
        <v>883</v>
      </c>
    </row>
    <row r="320" spans="1:9">
      <c r="A320" s="1" t="s">
        <v>366</v>
      </c>
      <c r="B320" s="17">
        <f t="shared" si="16"/>
        <v>102078494.37542754</v>
      </c>
      <c r="D320" s="8">
        <f t="shared" si="17"/>
        <v>1.490138552301406E-12</v>
      </c>
      <c r="F320" s="2">
        <f t="shared" si="15"/>
        <v>1.5211109982970681E-4</v>
      </c>
      <c r="H320" s="2">
        <f>SUM(F$4:F320)</f>
        <v>483.9230790627899</v>
      </c>
      <c r="I320" s="5" t="s">
        <v>884</v>
      </c>
    </row>
    <row r="321" spans="1:9">
      <c r="A321" s="1" t="s">
        <v>367</v>
      </c>
      <c r="B321" s="17">
        <f t="shared" si="16"/>
        <v>107182419.09419893</v>
      </c>
      <c r="D321" s="8">
        <f t="shared" si="17"/>
        <v>1.367099589267345E-12</v>
      </c>
      <c r="F321" s="2">
        <f t="shared" si="15"/>
        <v>1.4652904112035978E-4</v>
      </c>
      <c r="H321" s="2">
        <f>SUM(F$4:F321)</f>
        <v>483.923225591831</v>
      </c>
      <c r="I321" s="5" t="s">
        <v>885</v>
      </c>
    </row>
    <row r="322" spans="1:9">
      <c r="A322" s="1" t="s">
        <v>368</v>
      </c>
      <c r="B322" s="17">
        <f t="shared" si="16"/>
        <v>112541540.04890887</v>
      </c>
      <c r="D322" s="8">
        <f t="shared" si="17"/>
        <v>1.2542198066672888E-12</v>
      </c>
      <c r="F322" s="2">
        <f t="shared" si="15"/>
        <v>1.4115182860218142E-4</v>
      </c>
      <c r="H322" s="2">
        <f>SUM(F$4:F322)</f>
        <v>483.92336674365959</v>
      </c>
      <c r="I322" s="5" t="s">
        <v>886</v>
      </c>
    </row>
    <row r="323" spans="1:9">
      <c r="A323" s="1" t="s">
        <v>369</v>
      </c>
      <c r="B323" s="17">
        <f t="shared" si="16"/>
        <v>118168617.05135432</v>
      </c>
      <c r="D323" s="8">
        <f t="shared" si="17"/>
        <v>1.1506603730892557E-12</v>
      </c>
      <c r="F323" s="2">
        <f t="shared" si="15"/>
        <v>1.3597194498375274E-4</v>
      </c>
      <c r="H323" s="2">
        <f>SUM(F$4:F323)</f>
        <v>483.92350271560457</v>
      </c>
      <c r="I323" s="5" t="s">
        <v>887</v>
      </c>
    </row>
    <row r="324" spans="1:9">
      <c r="A324" s="1" t="s">
        <v>370</v>
      </c>
      <c r="B324" s="17">
        <f t="shared" si="16"/>
        <v>124077047.90392204</v>
      </c>
      <c r="D324" s="8">
        <f t="shared" si="17"/>
        <v>1.0556517184305098E-12</v>
      </c>
      <c r="F324" s="2">
        <f t="shared" si="15"/>
        <v>1.3098214883755998E-4</v>
      </c>
      <c r="H324" s="2">
        <f>SUM(F$4:F324)</f>
        <v>483.92363369775342</v>
      </c>
      <c r="I324" s="5" t="s">
        <v>888</v>
      </c>
    </row>
    <row r="325" spans="1:9">
      <c r="A325" s="1" t="s">
        <v>371</v>
      </c>
      <c r="B325" s="17">
        <f t="shared" si="16"/>
        <v>130280900.29911815</v>
      </c>
      <c r="D325" s="8">
        <f t="shared" si="17"/>
        <v>9.6848781507386214E-13</v>
      </c>
      <c r="F325" s="2">
        <f t="shared" si="15"/>
        <v>1.261754644765486E-4</v>
      </c>
      <c r="H325" s="2">
        <f>SUM(F$4:F325)</f>
        <v>483.92375987321788</v>
      </c>
      <c r="I325" s="5" t="s">
        <v>889</v>
      </c>
    </row>
    <row r="326" spans="1:9">
      <c r="A326" s="1" t="s">
        <v>372</v>
      </c>
      <c r="B326" s="17">
        <f t="shared" si="16"/>
        <v>136794945.31407407</v>
      </c>
      <c r="D326" s="8">
        <f t="shared" si="17"/>
        <v>8.8852093126042394E-13</v>
      </c>
      <c r="F326" s="2">
        <f t="shared" si="15"/>
        <v>1.2154517220217986E-4</v>
      </c>
      <c r="H326" s="2">
        <f>SUM(F$4:F326)</f>
        <v>483.92388141839007</v>
      </c>
      <c r="I326" s="5" t="s">
        <v>890</v>
      </c>
    </row>
    <row r="327" spans="1:9">
      <c r="A327" s="1" t="s">
        <v>373</v>
      </c>
      <c r="B327" s="17">
        <f t="shared" si="16"/>
        <v>143634692.57977778</v>
      </c>
      <c r="D327" s="8">
        <f t="shared" si="17"/>
        <v>8.151568176701136E-13</v>
      </c>
      <c r="F327" s="2">
        <f t="shared" si="15"/>
        <v>1.1708479891035674E-4</v>
      </c>
      <c r="H327" s="2">
        <f>SUM(F$4:F327)</f>
        <v>483.92399850318895</v>
      </c>
      <c r="I327" s="5" t="s">
        <v>891</v>
      </c>
    </row>
    <row r="328" spans="1:9">
      <c r="A328" s="1" t="s">
        <v>374</v>
      </c>
      <c r="B328" s="17">
        <f t="shared" si="16"/>
        <v>150816427.20876667</v>
      </c>
      <c r="D328" s="8">
        <f t="shared" si="17"/>
        <v>7.4785029144047109E-13</v>
      </c>
      <c r="F328" s="2">
        <f t="shared" si="15"/>
        <v>1.1278810904208675E-4</v>
      </c>
      <c r="H328" s="2">
        <f>SUM(F$4:F328)</f>
        <v>483.924111291298</v>
      </c>
      <c r="I328" s="5" t="s">
        <v>892</v>
      </c>
    </row>
    <row r="329" spans="1:9">
      <c r="A329" s="1" t="s">
        <v>375</v>
      </c>
      <c r="B329" s="17">
        <f t="shared" si="16"/>
        <v>158357248.56920502</v>
      </c>
      <c r="D329" s="8">
        <f t="shared" si="17"/>
        <v>6.8610118480777162E-13</v>
      </c>
      <c r="F329" s="2">
        <f t="shared" si="15"/>
        <v>1.0864909586623036E-4</v>
      </c>
      <c r="H329" s="2">
        <f>SUM(F$4:F329)</f>
        <v>483.92421994039387</v>
      </c>
      <c r="I329" s="5" t="s">
        <v>893</v>
      </c>
    </row>
    <row r="330" spans="1:9">
      <c r="A330" s="1" t="s">
        <v>376</v>
      </c>
      <c r="B330" s="17">
        <f t="shared" si="16"/>
        <v>166275110.99766529</v>
      </c>
      <c r="D330" s="8">
        <f t="shared" si="17"/>
        <v>6.2945062826401064E-13</v>
      </c>
      <c r="F330" s="2">
        <f t="shared" si="15"/>
        <v>1.0466197308214852E-4</v>
      </c>
      <c r="H330" s="2">
        <f>SUM(F$4:F330)</f>
        <v>483.92432460236694</v>
      </c>
      <c r="I330" s="5" t="s">
        <v>894</v>
      </c>
    </row>
    <row r="331" spans="1:9">
      <c r="A331" s="1" t="s">
        <v>377</v>
      </c>
      <c r="B331" s="17">
        <f t="shared" si="16"/>
        <v>174588866.54754856</v>
      </c>
      <c r="D331" s="8">
        <f t="shared" si="17"/>
        <v>5.7747764060918404E-13</v>
      </c>
      <c r="F331" s="2">
        <f t="shared" si="15"/>
        <v>1.0082116673051004E-4</v>
      </c>
      <c r="H331" s="2">
        <f>SUM(F$4:F331)</f>
        <v>483.92442542353365</v>
      </c>
      <c r="I331" s="5" t="s">
        <v>895</v>
      </c>
    </row>
    <row r="332" spans="1:9">
      <c r="A332" s="1" t="s">
        <v>378</v>
      </c>
      <c r="B332" s="17">
        <f t="shared" si="16"/>
        <v>183318309.874926</v>
      </c>
      <c r="D332" s="8">
        <f t="shared" si="17"/>
        <v>5.2979600055888444E-13</v>
      </c>
      <c r="F332" s="2">
        <f t="shared" si="15"/>
        <v>9.7121307400950053E-5</v>
      </c>
      <c r="H332" s="2">
        <f>SUM(F$4:F332)</f>
        <v>483.92452254484107</v>
      </c>
      <c r="I332" s="5" t="s">
        <v>896</v>
      </c>
    </row>
    <row r="333" spans="1:9">
      <c r="A333" s="1" t="s">
        <v>379</v>
      </c>
      <c r="B333" s="17">
        <f t="shared" si="16"/>
        <v>192484225.36867231</v>
      </c>
      <c r="D333" s="8">
        <f t="shared" si="17"/>
        <v>4.8605137665952698E-13</v>
      </c>
      <c r="F333" s="2">
        <f t="shared" si="15"/>
        <v>9.3557222725685821E-5</v>
      </c>
      <c r="H333" s="2">
        <f>SUM(F$4:F333)</f>
        <v>483.92461610206379</v>
      </c>
      <c r="I333" s="5" t="s">
        <v>897</v>
      </c>
    </row>
    <row r="334" spans="1:9">
      <c r="A334" s="1" t="s">
        <v>380</v>
      </c>
      <c r="B334" s="17">
        <f t="shared" si="16"/>
        <v>202108436.63710594</v>
      </c>
      <c r="D334" s="8">
        <f t="shared" si="17"/>
        <v>4.4591869418305226E-13</v>
      </c>
      <c r="F334" s="2">
        <f t="shared" si="15"/>
        <v>9.0123930148596442E-5</v>
      </c>
      <c r="H334" s="2">
        <f>SUM(F$4:F334)</f>
        <v>483.92470622599393</v>
      </c>
      <c r="I334" s="5" t="s">
        <v>898</v>
      </c>
    </row>
    <row r="335" spans="1:9">
      <c r="A335" s="1" t="s">
        <v>381</v>
      </c>
      <c r="B335" s="17">
        <f t="shared" si="16"/>
        <v>212213858.46896124</v>
      </c>
      <c r="D335" s="8">
        <f t="shared" si="17"/>
        <v>4.0909971943399287E-13</v>
      </c>
      <c r="F335" s="2">
        <f t="shared" si="15"/>
        <v>8.6816629959657115E-5</v>
      </c>
      <c r="H335" s="2">
        <f>SUM(F$4:F335)</f>
        <v>483.92479304262389</v>
      </c>
      <c r="I335" s="5" t="s">
        <v>899</v>
      </c>
    </row>
    <row r="336" spans="1:9">
      <c r="A336" s="1" t="s">
        <v>382</v>
      </c>
      <c r="B336" s="17">
        <f t="shared" si="16"/>
        <v>222824551.39240932</v>
      </c>
      <c r="D336" s="8">
        <f t="shared" si="17"/>
        <v>3.7532084351742461E-13</v>
      </c>
      <c r="F336" s="2">
        <f t="shared" ref="F336:F399" si="18">B336*D336</f>
        <v>8.3630698584990796E-5</v>
      </c>
      <c r="H336" s="2">
        <f>SUM(F$4:F336)</f>
        <v>483.9248766733225</v>
      </c>
      <c r="I336" s="5" t="s">
        <v>900</v>
      </c>
    </row>
    <row r="337" spans="1:9">
      <c r="A337" s="1" t="s">
        <v>383</v>
      </c>
      <c r="B337" s="17">
        <f t="shared" ref="B337:B400" si="19">B336*(1+5%)</f>
        <v>233965778.96202981</v>
      </c>
      <c r="D337" s="8">
        <f t="shared" ref="D337:D400" si="20">D336/(1+9%)</f>
        <v>3.4433104909855464E-13</v>
      </c>
      <c r="F337" s="2">
        <f t="shared" si="18"/>
        <v>8.0561682123156275E-5</v>
      </c>
      <c r="H337" s="2">
        <f>SUM(F$4:F337)</f>
        <v>483.92495723500463</v>
      </c>
      <c r="I337" s="5" t="s">
        <v>901</v>
      </c>
    </row>
    <row r="338" spans="1:9">
      <c r="A338" s="1" t="s">
        <v>384</v>
      </c>
      <c r="B338" s="17">
        <f t="shared" si="19"/>
        <v>245664067.91013131</v>
      </c>
      <c r="D338" s="8">
        <f t="shared" si="20"/>
        <v>3.1590004504454551E-13</v>
      </c>
      <c r="F338" s="2">
        <f t="shared" si="18"/>
        <v>7.7605290118636769E-5</v>
      </c>
      <c r="H338" s="2">
        <f>SUM(F$4:F338)</f>
        <v>483.92503484029476</v>
      </c>
      <c r="I338" s="5" t="s">
        <v>902</v>
      </c>
    </row>
    <row r="339" spans="1:9">
      <c r="A339" s="1" t="s">
        <v>385</v>
      </c>
      <c r="B339" s="17">
        <f t="shared" si="19"/>
        <v>257947271.3056379</v>
      </c>
      <c r="D339" s="8">
        <f t="shared" si="20"/>
        <v>2.89816555086739E-13</v>
      </c>
      <c r="F339" s="2">
        <f t="shared" si="18"/>
        <v>7.4757389563824412E-5</v>
      </c>
      <c r="H339" s="2">
        <f>SUM(F$4:F339)</f>
        <v>483.9251095976843</v>
      </c>
      <c r="I339" s="5" t="s">
        <v>903</v>
      </c>
    </row>
    <row r="340" spans="1:9">
      <c r="A340" s="1" t="s">
        <v>386</v>
      </c>
      <c r="B340" s="17">
        <f t="shared" si="19"/>
        <v>270844634.87091982</v>
      </c>
      <c r="D340" s="8">
        <f t="shared" si="20"/>
        <v>2.6588674778599907E-13</v>
      </c>
      <c r="F340" s="2">
        <f t="shared" si="18"/>
        <v>7.2013999121115272E-5</v>
      </c>
      <c r="H340" s="2">
        <f>SUM(F$4:F340)</f>
        <v>483.9251816116834</v>
      </c>
      <c r="I340" s="5" t="s">
        <v>904</v>
      </c>
    </row>
    <row r="341" spans="1:9">
      <c r="A341" s="1" t="s">
        <v>387</v>
      </c>
      <c r="B341" s="17">
        <f t="shared" si="19"/>
        <v>284386866.61446583</v>
      </c>
      <c r="D341" s="8">
        <f t="shared" si="20"/>
        <v>2.4393279613394407E-13</v>
      </c>
      <c r="F341" s="2">
        <f t="shared" si="18"/>
        <v>6.9371283557037643E-5</v>
      </c>
      <c r="H341" s="2">
        <f>SUM(F$4:F341)</f>
        <v>483.92525098296693</v>
      </c>
      <c r="I341" s="5" t="s">
        <v>905</v>
      </c>
    </row>
    <row r="342" spans="1:9">
      <c r="A342" s="1" t="s">
        <v>388</v>
      </c>
      <c r="B342" s="17">
        <f t="shared" si="19"/>
        <v>298606209.94518912</v>
      </c>
      <c r="D342" s="8">
        <f t="shared" si="20"/>
        <v>2.237915560861872E-13</v>
      </c>
      <c r="F342" s="2">
        <f t="shared" si="18"/>
        <v>6.6825548380632582E-5</v>
      </c>
      <c r="H342" s="2">
        <f>SUM(F$4:F342)</f>
        <v>483.92531780851533</v>
      </c>
      <c r="I342" s="5" t="s">
        <v>906</v>
      </c>
    </row>
    <row r="343" spans="1:9">
      <c r="A343" s="1" t="s">
        <v>389</v>
      </c>
      <c r="B343" s="17">
        <f t="shared" si="19"/>
        <v>313536520.44244862</v>
      </c>
      <c r="D343" s="8">
        <f t="shared" si="20"/>
        <v>2.0531335420751119E-13</v>
      </c>
      <c r="F343" s="2">
        <f t="shared" si="18"/>
        <v>6.4373234678591029E-5</v>
      </c>
      <c r="H343" s="2">
        <f>SUM(F$4:F343)</f>
        <v>483.92538218175002</v>
      </c>
      <c r="I343" s="5" t="s">
        <v>907</v>
      </c>
    </row>
    <row r="344" spans="1:9">
      <c r="A344" s="1" t="s">
        <v>390</v>
      </c>
      <c r="B344" s="17">
        <f t="shared" si="19"/>
        <v>329213346.46457106</v>
      </c>
      <c r="D344" s="8">
        <f t="shared" si="20"/>
        <v>1.8836087541973501E-13</v>
      </c>
      <c r="F344" s="2">
        <f t="shared" si="18"/>
        <v>6.2010914139927123E-5</v>
      </c>
      <c r="H344" s="2">
        <f>SUM(F$4:F344)</f>
        <v>483.92544419266414</v>
      </c>
      <c r="I344" s="5" t="s">
        <v>908</v>
      </c>
    </row>
    <row r="345" spans="1:9">
      <c r="A345" s="1" t="s">
        <v>391</v>
      </c>
      <c r="B345" s="17">
        <f t="shared" si="19"/>
        <v>345674013.7877996</v>
      </c>
      <c r="D345" s="8">
        <f t="shared" si="20"/>
        <v>1.7280814258691283E-13</v>
      </c>
      <c r="F345" s="2">
        <f t="shared" si="18"/>
        <v>5.9735284263232544E-5</v>
      </c>
      <c r="H345" s="2">
        <f>SUM(F$4:F345)</f>
        <v>483.9255039279484</v>
      </c>
      <c r="I345" s="5" t="s">
        <v>909</v>
      </c>
    </row>
    <row r="346" spans="1:9">
      <c r="A346" s="1" t="s">
        <v>392</v>
      </c>
      <c r="B346" s="17">
        <f t="shared" si="19"/>
        <v>362957714.4771896</v>
      </c>
      <c r="D346" s="8">
        <f t="shared" si="20"/>
        <v>1.585395803549659E-13</v>
      </c>
      <c r="F346" s="2">
        <f t="shared" si="18"/>
        <v>5.7543163739811167E-5</v>
      </c>
      <c r="H346" s="2">
        <f>SUM(F$4:F346)</f>
        <v>483.92556147111213</v>
      </c>
      <c r="I346" s="5" t="s">
        <v>910</v>
      </c>
    </row>
    <row r="347" spans="1:9">
      <c r="A347" s="1" t="s">
        <v>393</v>
      </c>
      <c r="B347" s="17">
        <f t="shared" si="19"/>
        <v>381105600.20104909</v>
      </c>
      <c r="D347" s="8">
        <f t="shared" si="20"/>
        <v>1.4544915628895952E-13</v>
      </c>
      <c r="F347" s="2">
        <f t="shared" si="18"/>
        <v>5.5431488006240112E-5</v>
      </c>
      <c r="H347" s="2">
        <f>SUM(F$4:F347)</f>
        <v>483.92561690260015</v>
      </c>
      <c r="I347" s="5" t="s">
        <v>911</v>
      </c>
    </row>
    <row r="348" spans="1:9">
      <c r="A348" s="1" t="s">
        <v>394</v>
      </c>
      <c r="B348" s="17">
        <f t="shared" si="19"/>
        <v>400160880.21110153</v>
      </c>
      <c r="D348" s="8">
        <f t="shared" si="20"/>
        <v>1.3343959292565093E-13</v>
      </c>
      <c r="F348" s="2">
        <f t="shared" si="18"/>
        <v>5.3397304960139556E-5</v>
      </c>
      <c r="H348" s="2">
        <f>SUM(F$4:F348)</f>
        <v>483.92567029990511</v>
      </c>
      <c r="I348" s="5" t="s">
        <v>912</v>
      </c>
    </row>
    <row r="349" spans="1:9">
      <c r="A349" s="1" t="s">
        <v>395</v>
      </c>
      <c r="B349" s="17">
        <f t="shared" si="19"/>
        <v>420168924.22165662</v>
      </c>
      <c r="D349" s="8">
        <f t="shared" si="20"/>
        <v>1.2242164488591829E-13</v>
      </c>
      <c r="F349" s="2">
        <f t="shared" si="18"/>
        <v>5.1437770833161958E-5</v>
      </c>
      <c r="H349" s="2">
        <f>SUM(F$4:F349)</f>
        <v>483.92572173767593</v>
      </c>
      <c r="I349" s="5" t="s">
        <v>913</v>
      </c>
    </row>
    <row r="350" spans="1:9">
      <c r="A350" s="1" t="s">
        <v>396</v>
      </c>
      <c r="B350" s="17">
        <f t="shared" si="19"/>
        <v>441177370.4327395</v>
      </c>
      <c r="D350" s="8">
        <f t="shared" si="20"/>
        <v>1.1231343567515439E-13</v>
      </c>
      <c r="F350" s="2">
        <f t="shared" si="18"/>
        <v>4.9550146215431247E-5</v>
      </c>
      <c r="H350" s="2">
        <f>SUM(F$4:F350)</f>
        <v>483.92577128782216</v>
      </c>
      <c r="I350" s="5" t="s">
        <v>914</v>
      </c>
    </row>
    <row r="351" spans="1:9">
      <c r="A351" s="1" t="s">
        <v>397</v>
      </c>
      <c r="B351" s="17">
        <f t="shared" si="19"/>
        <v>463236238.95437652</v>
      </c>
      <c r="D351" s="8">
        <f t="shared" si="20"/>
        <v>1.030398492432609E-13</v>
      </c>
      <c r="F351" s="2">
        <f t="shared" si="18"/>
        <v>4.7731792225874143E-5</v>
      </c>
      <c r="H351" s="2">
        <f>SUM(F$4:F351)</f>
        <v>483.92581901961438</v>
      </c>
      <c r="I351" s="5" t="s">
        <v>915</v>
      </c>
    </row>
    <row r="352" spans="1:9">
      <c r="A352" s="1" t="s">
        <v>398</v>
      </c>
      <c r="B352" s="17">
        <f t="shared" si="19"/>
        <v>486398050.90209538</v>
      </c>
      <c r="D352" s="8">
        <f t="shared" si="20"/>
        <v>9.4531971782808165E-14</v>
      </c>
      <c r="F352" s="2">
        <f t="shared" si="18"/>
        <v>4.598016682308977E-5</v>
      </c>
      <c r="H352" s="2">
        <f>SUM(F$4:F352)</f>
        <v>483.9258649997812</v>
      </c>
      <c r="I352" s="5" t="s">
        <v>916</v>
      </c>
    </row>
    <row r="353" spans="1:9">
      <c r="A353" s="1" t="s">
        <v>399</v>
      </c>
      <c r="B353" s="17">
        <f t="shared" si="19"/>
        <v>510717953.44720018</v>
      </c>
      <c r="D353" s="8">
        <f t="shared" si="20"/>
        <v>8.6726579617255187E-14</v>
      </c>
      <c r="F353" s="2">
        <f t="shared" si="18"/>
        <v>4.4292821251600235E-5</v>
      </c>
      <c r="H353" s="2">
        <f>SUM(F$4:F353)</f>
        <v>483.92590929260246</v>
      </c>
      <c r="I353" s="5" t="s">
        <v>917</v>
      </c>
    </row>
    <row r="354" spans="1:9">
      <c r="A354" s="1" t="s">
        <v>400</v>
      </c>
      <c r="B354" s="17">
        <f t="shared" si="19"/>
        <v>536253851.11956018</v>
      </c>
      <c r="D354" s="8">
        <f t="shared" si="20"/>
        <v>7.9565669373628606E-14</v>
      </c>
      <c r="F354" s="2">
        <f t="shared" si="18"/>
        <v>4.2667396618513981E-5</v>
      </c>
      <c r="H354" s="2">
        <f>SUM(F$4:F354)</f>
        <v>483.92595195999905</v>
      </c>
      <c r="I354" s="5" t="s">
        <v>918</v>
      </c>
    </row>
    <row r="355" spans="1:9">
      <c r="A355" s="1" t="s">
        <v>401</v>
      </c>
      <c r="B355" s="17">
        <f t="shared" si="19"/>
        <v>563066543.67553818</v>
      </c>
      <c r="D355" s="8">
        <f t="shared" si="20"/>
        <v>7.2996026948283119E-14</v>
      </c>
      <c r="F355" s="2">
        <f t="shared" si="18"/>
        <v>4.1101620595816217E-5</v>
      </c>
      <c r="H355" s="2">
        <f>SUM(F$4:F355)</f>
        <v>483.92599306161964</v>
      </c>
      <c r="I355" s="5" t="s">
        <v>919</v>
      </c>
    </row>
    <row r="356" spans="1:9">
      <c r="A356" s="1" t="s">
        <v>402</v>
      </c>
      <c r="B356" s="17">
        <f t="shared" si="19"/>
        <v>591219870.85931516</v>
      </c>
      <c r="D356" s="8">
        <f t="shared" si="20"/>
        <v>6.696883206264506E-14</v>
      </c>
      <c r="F356" s="2">
        <f t="shared" si="18"/>
        <v>3.9593304243676177E-5</v>
      </c>
      <c r="H356" s="2">
        <f>SUM(F$4:F356)</f>
        <v>483.92603265492386</v>
      </c>
      <c r="I356" s="5" t="s">
        <v>920</v>
      </c>
    </row>
    <row r="357" spans="1:9">
      <c r="A357" s="1" t="s">
        <v>403</v>
      </c>
      <c r="B357" s="17">
        <f t="shared" si="19"/>
        <v>620780864.40228093</v>
      </c>
      <c r="D357" s="8">
        <f t="shared" si="20"/>
        <v>6.143929547031657E-14</v>
      </c>
      <c r="F357" s="2">
        <f t="shared" si="18"/>
        <v>3.8140338950330264E-5</v>
      </c>
      <c r="H357" s="2">
        <f>SUM(F$4:F357)</f>
        <v>483.92607079526283</v>
      </c>
      <c r="I357" s="5" t="s">
        <v>921</v>
      </c>
    </row>
    <row r="358" spans="1:9">
      <c r="A358" s="1" t="s">
        <v>404</v>
      </c>
      <c r="B358" s="17">
        <f t="shared" si="19"/>
        <v>651819907.62239504</v>
      </c>
      <c r="D358" s="8">
        <f t="shared" si="20"/>
        <v>5.636632611955648E-14</v>
      </c>
      <c r="F358" s="2">
        <f t="shared" si="18"/>
        <v>3.6740693484263094E-5</v>
      </c>
      <c r="H358" s="2">
        <f>SUM(F$4:F358)</f>
        <v>483.92610753595631</v>
      </c>
      <c r="I358" s="5" t="s">
        <v>922</v>
      </c>
    </row>
    <row r="359" spans="1:9">
      <c r="A359" s="1" t="s">
        <v>405</v>
      </c>
      <c r="B359" s="17">
        <f t="shared" si="19"/>
        <v>684410903.00351477</v>
      </c>
      <c r="D359" s="8">
        <f t="shared" si="20"/>
        <v>5.1712225797758232E-14</v>
      </c>
      <c r="F359" s="2">
        <f t="shared" si="18"/>
        <v>3.5392411154565366E-5</v>
      </c>
      <c r="H359" s="2">
        <f>SUM(F$4:F359)</f>
        <v>483.92614292836748</v>
      </c>
      <c r="I359" s="5" t="s">
        <v>923</v>
      </c>
    </row>
    <row r="360" spans="1:9">
      <c r="A360" s="1" t="s">
        <v>406</v>
      </c>
      <c r="B360" s="17">
        <f t="shared" si="19"/>
        <v>718631448.15369058</v>
      </c>
      <c r="D360" s="8">
        <f t="shared" si="20"/>
        <v>4.7442408988769018E-14</v>
      </c>
      <c r="F360" s="2">
        <f t="shared" si="18"/>
        <v>3.4093607075498744E-5</v>
      </c>
      <c r="H360" s="2">
        <f>SUM(F$4:F360)</f>
        <v>483.92617702197458</v>
      </c>
      <c r="I360" s="5" t="s">
        <v>924</v>
      </c>
    </row>
    <row r="361" spans="1:9">
      <c r="A361" s="1" t="s">
        <v>407</v>
      </c>
      <c r="B361" s="17">
        <f t="shared" si="19"/>
        <v>754563020.56137514</v>
      </c>
      <c r="D361" s="8">
        <f t="shared" si="20"/>
        <v>4.3525145861255979E-14</v>
      </c>
      <c r="F361" s="2">
        <f t="shared" si="18"/>
        <v>3.2842465531443745E-5</v>
      </c>
      <c r="H361" s="2">
        <f>SUM(F$4:F361)</f>
        <v>483.92620986444012</v>
      </c>
      <c r="I361" s="5" t="s">
        <v>925</v>
      </c>
    </row>
    <row r="362" spans="1:9">
      <c r="A362" s="1" t="s">
        <v>408</v>
      </c>
      <c r="B362" s="17">
        <f t="shared" si="19"/>
        <v>792291171.58944392</v>
      </c>
      <c r="D362" s="8">
        <f t="shared" si="20"/>
        <v>3.9931326478216494E-14</v>
      </c>
      <c r="F362" s="2">
        <f t="shared" si="18"/>
        <v>3.1637237438546732E-5</v>
      </c>
      <c r="H362" s="2">
        <f>SUM(F$4:F362)</f>
        <v>483.92624150167757</v>
      </c>
      <c r="I362" s="5" t="s">
        <v>926</v>
      </c>
    </row>
    <row r="363" spans="1:9">
      <c r="A363" s="1" t="s">
        <v>409</v>
      </c>
      <c r="B363" s="17">
        <f t="shared" si="19"/>
        <v>831905730.16891611</v>
      </c>
      <c r="D363" s="8">
        <f t="shared" si="20"/>
        <v>3.6634244475427974E-14</v>
      </c>
      <c r="F363" s="2">
        <f t="shared" si="18"/>
        <v>3.047623789951749E-5</v>
      </c>
      <c r="H363" s="2">
        <f>SUM(F$4:F363)</f>
        <v>483.92627197791546</v>
      </c>
      <c r="I363" s="5" t="s">
        <v>927</v>
      </c>
    </row>
    <row r="364" spans="1:9">
      <c r="A364" s="1" t="s">
        <v>410</v>
      </c>
      <c r="B364" s="17">
        <f t="shared" si="19"/>
        <v>873501016.67736197</v>
      </c>
      <c r="D364" s="8">
        <f t="shared" si="20"/>
        <v>3.3609398601310067E-14</v>
      </c>
      <c r="F364" s="2">
        <f t="shared" si="18"/>
        <v>2.935784384815905E-5</v>
      </c>
      <c r="H364" s="2">
        <f>SUM(F$4:F364)</f>
        <v>483.92630133575932</v>
      </c>
      <c r="I364" s="5" t="s">
        <v>928</v>
      </c>
    </row>
    <row r="365" spans="1:9">
      <c r="A365" s="1" t="s">
        <v>411</v>
      </c>
      <c r="B365" s="17">
        <f t="shared" si="19"/>
        <v>917176067.51123011</v>
      </c>
      <c r="D365" s="8">
        <f t="shared" si="20"/>
        <v>3.0834310643403726E-14</v>
      </c>
      <c r="F365" s="2">
        <f t="shared" si="18"/>
        <v>2.8280491780336699E-5</v>
      </c>
      <c r="H365" s="2">
        <f>SUM(F$4:F365)</f>
        <v>483.92632961625111</v>
      </c>
      <c r="I365" s="5" t="s">
        <v>929</v>
      </c>
    </row>
    <row r="366" spans="1:9">
      <c r="A366" s="1" t="s">
        <v>412</v>
      </c>
      <c r="B366" s="17">
        <f t="shared" si="19"/>
        <v>963034870.88679171</v>
      </c>
      <c r="D366" s="8">
        <f t="shared" si="20"/>
        <v>2.8288358388443785E-14</v>
      </c>
      <c r="F366" s="2">
        <f t="shared" si="18"/>
        <v>2.7242675568214252E-5</v>
      </c>
      <c r="H366" s="2">
        <f>SUM(F$4:F366)</f>
        <v>483.92635685892668</v>
      </c>
      <c r="I366" s="5" t="s">
        <v>930</v>
      </c>
    </row>
    <row r="367" spans="1:9">
      <c r="A367" s="1" t="s">
        <v>413</v>
      </c>
      <c r="B367" s="17">
        <f t="shared" si="19"/>
        <v>1011186614.4311314</v>
      </c>
      <c r="D367" s="8">
        <f t="shared" si="20"/>
        <v>2.5952622374719066E-14</v>
      </c>
      <c r="F367" s="2">
        <f t="shared" si="18"/>
        <v>2.6242944354701802E-5</v>
      </c>
      <c r="H367" s="2">
        <f>SUM(F$4:F367)</f>
        <v>483.92638310187101</v>
      </c>
      <c r="I367" s="5" t="s">
        <v>931</v>
      </c>
    </row>
    <row r="368" spans="1:9">
      <c r="A368" s="1" t="s">
        <v>414</v>
      </c>
      <c r="B368" s="17">
        <f t="shared" si="19"/>
        <v>1061745945.152688</v>
      </c>
      <c r="D368" s="8">
        <f t="shared" si="20"/>
        <v>2.3809745297907398E-14</v>
      </c>
      <c r="F368" s="2">
        <f t="shared" si="18"/>
        <v>2.5279900525171461E-5</v>
      </c>
      <c r="H368" s="2">
        <f>SUM(F$4:F368)</f>
        <v>483.92640838177152</v>
      </c>
      <c r="I368" s="5" t="s">
        <v>932</v>
      </c>
    </row>
    <row r="369" spans="1:9">
      <c r="A369" s="1" t="s">
        <v>415</v>
      </c>
      <c r="B369" s="17">
        <f t="shared" si="19"/>
        <v>1114833242.4103224</v>
      </c>
      <c r="D369" s="8">
        <f t="shared" si="20"/>
        <v>2.1843803025603116E-14</v>
      </c>
      <c r="F369" s="2">
        <f t="shared" si="18"/>
        <v>2.4352197753605534E-5</v>
      </c>
      <c r="H369" s="2">
        <f>SUM(F$4:F369)</f>
        <v>483.92643273396925</v>
      </c>
      <c r="I369" s="5" t="s">
        <v>933</v>
      </c>
    </row>
    <row r="370" spans="1:9">
      <c r="A370" s="1" t="s">
        <v>416</v>
      </c>
      <c r="B370" s="17">
        <f t="shared" si="19"/>
        <v>1170574904.5308385</v>
      </c>
      <c r="D370" s="8">
        <f t="shared" si="20"/>
        <v>2.0040186262021207E-14</v>
      </c>
      <c r="F370" s="2">
        <f t="shared" si="18"/>
        <v>2.3458539120445696E-5</v>
      </c>
      <c r="H370" s="2">
        <f>SUM(F$4:F370)</f>
        <v>483.9264561925084</v>
      </c>
      <c r="I370" s="5" t="s">
        <v>934</v>
      </c>
    </row>
    <row r="371" spans="1:9">
      <c r="A371" s="1" t="s">
        <v>417</v>
      </c>
      <c r="B371" s="17">
        <f t="shared" si="19"/>
        <v>1229103649.7573805</v>
      </c>
      <c r="D371" s="8">
        <f t="shared" si="20"/>
        <v>1.8385491983505693E-14</v>
      </c>
      <c r="F371" s="2">
        <f t="shared" si="18"/>
        <v>2.2597675299511908E-5</v>
      </c>
      <c r="H371" s="2">
        <f>SUM(F$4:F371)</f>
        <v>483.92647879018369</v>
      </c>
      <c r="I371" s="5" t="s">
        <v>935</v>
      </c>
    </row>
    <row r="372" spans="1:9">
      <c r="A372" s="1" t="s">
        <v>418</v>
      </c>
      <c r="B372" s="17">
        <f t="shared" si="19"/>
        <v>1290558832.2452495</v>
      </c>
      <c r="D372" s="8">
        <f t="shared" si="20"/>
        <v>1.6867423838078617E-14</v>
      </c>
      <c r="F372" s="2">
        <f t="shared" si="18"/>
        <v>2.1768402811456424E-5</v>
      </c>
      <c r="H372" s="2">
        <f>SUM(F$4:F372)</f>
        <v>483.9265005585865</v>
      </c>
      <c r="I372" s="5" t="s">
        <v>936</v>
      </c>
    </row>
    <row r="373" spans="1:9">
      <c r="A373" s="1" t="s">
        <v>419</v>
      </c>
      <c r="B373" s="17">
        <f t="shared" si="19"/>
        <v>1355086773.857512</v>
      </c>
      <c r="D373" s="8">
        <f t="shared" si="20"/>
        <v>1.5474700768879464E-14</v>
      </c>
      <c r="F373" s="2">
        <f t="shared" si="18"/>
        <v>2.0969562341311234E-5</v>
      </c>
      <c r="H373" s="2">
        <f>SUM(F$4:F373)</f>
        <v>483.92652152814884</v>
      </c>
      <c r="I373" s="5" t="s">
        <v>937</v>
      </c>
    </row>
    <row r="374" spans="1:9">
      <c r="A374" s="1" t="s">
        <v>420</v>
      </c>
      <c r="B374" s="17">
        <f t="shared" si="19"/>
        <v>1422841112.5503876</v>
      </c>
      <c r="D374" s="8">
        <f t="shared" si="20"/>
        <v>1.4196973182458223E-14</v>
      </c>
      <c r="F374" s="2">
        <f t="shared" si="18"/>
        <v>2.0200037117776876E-5</v>
      </c>
      <c r="H374" s="2">
        <f>SUM(F$4:F374)</f>
        <v>483.92654172818595</v>
      </c>
      <c r="I374" s="5" t="s">
        <v>938</v>
      </c>
    </row>
    <row r="375" spans="1:9">
      <c r="A375" s="1" t="s">
        <v>421</v>
      </c>
      <c r="B375" s="17">
        <f t="shared" si="19"/>
        <v>1493983168.177907</v>
      </c>
      <c r="D375" s="8">
        <f t="shared" si="20"/>
        <v>1.3024746038952497E-14</v>
      </c>
      <c r="F375" s="2">
        <f t="shared" si="18"/>
        <v>1.9458751351986896E-5</v>
      </c>
      <c r="H375" s="2">
        <f>SUM(F$4:F375)</f>
        <v>483.92656118693731</v>
      </c>
      <c r="I375" s="5" t="s">
        <v>939</v>
      </c>
    </row>
    <row r="376" spans="1:9">
      <c r="A376" s="1" t="s">
        <v>422</v>
      </c>
      <c r="B376" s="17">
        <f t="shared" si="19"/>
        <v>1568682326.5868025</v>
      </c>
      <c r="D376" s="8">
        <f t="shared" si="20"/>
        <v>1.1949308292616969E-14</v>
      </c>
      <c r="F376" s="2">
        <f t="shared" si="18"/>
        <v>1.8744668733565358E-5</v>
      </c>
      <c r="H376" s="2">
        <f>SUM(F$4:F376)</f>
        <v>483.92657993160606</v>
      </c>
      <c r="I376" s="5" t="s">
        <v>940</v>
      </c>
    </row>
    <row r="377" spans="1:9">
      <c r="A377" s="1" t="s">
        <v>423</v>
      </c>
      <c r="B377" s="17">
        <f t="shared" si="19"/>
        <v>1647116442.9161427</v>
      </c>
      <c r="D377" s="8">
        <f t="shared" si="20"/>
        <v>1.0962668158364192E-14</v>
      </c>
      <c r="F377" s="2">
        <f t="shared" si="18"/>
        <v>1.8056790981874889E-5</v>
      </c>
      <c r="H377" s="2">
        <f>SUM(F$4:F377)</f>
        <v>483.92659798839702</v>
      </c>
      <c r="I377" s="5" t="s">
        <v>941</v>
      </c>
    </row>
    <row r="378" spans="1:9">
      <c r="A378" s="1" t="s">
        <v>424</v>
      </c>
      <c r="B378" s="17">
        <f t="shared" si="19"/>
        <v>1729472265.06195</v>
      </c>
      <c r="D378" s="8">
        <f t="shared" si="20"/>
        <v>1.00574937232699E-14</v>
      </c>
      <c r="F378" s="2">
        <f t="shared" si="18"/>
        <v>1.7394156450429939E-5</v>
      </c>
      <c r="H378" s="2">
        <f>SUM(F$4:F378)</f>
        <v>483.92661538255345</v>
      </c>
      <c r="I378" s="5" t="s">
        <v>942</v>
      </c>
    </row>
    <row r="379" spans="1:9">
      <c r="A379" s="1" t="s">
        <v>425</v>
      </c>
      <c r="B379" s="17">
        <f t="shared" si="19"/>
        <v>1815945878.3150475</v>
      </c>
      <c r="D379" s="8">
        <f t="shared" si="20"/>
        <v>9.2270584617155042E-15</v>
      </c>
      <c r="F379" s="2">
        <f t="shared" si="18"/>
        <v>1.6755838782524253E-5</v>
      </c>
      <c r="H379" s="2">
        <f>SUM(F$4:F379)</f>
        <v>483.92663213839222</v>
      </c>
      <c r="I379" s="5" t="s">
        <v>943</v>
      </c>
    </row>
    <row r="380" spans="1:9">
      <c r="A380" s="1" t="s">
        <v>426</v>
      </c>
      <c r="B380" s="17">
        <f t="shared" si="19"/>
        <v>1906743172.2307999</v>
      </c>
      <c r="D380" s="8">
        <f t="shared" si="20"/>
        <v>8.4651912492802784E-15</v>
      </c>
      <c r="F380" s="2">
        <f t="shared" si="18"/>
        <v>1.6140945616193087E-5</v>
      </c>
      <c r="H380" s="2">
        <f>SUM(F$4:F380)</f>
        <v>483.92664827933783</v>
      </c>
      <c r="I380" s="5" t="s">
        <v>944</v>
      </c>
    </row>
    <row r="381" spans="1:9">
      <c r="A381" s="1" t="s">
        <v>427</v>
      </c>
      <c r="B381" s="17">
        <f t="shared" si="19"/>
        <v>2002080330.84234</v>
      </c>
      <c r="D381" s="8">
        <f t="shared" si="20"/>
        <v>7.7662305039268611E-15</v>
      </c>
      <c r="F381" s="2">
        <f t="shared" si="18"/>
        <v>1.5548617336699763E-5</v>
      </c>
      <c r="H381" s="2">
        <f>SUM(F$4:F381)</f>
        <v>483.92666382795517</v>
      </c>
      <c r="I381" s="5" t="s">
        <v>945</v>
      </c>
    </row>
    <row r="382" spans="1:9">
      <c r="A382" s="1" t="s">
        <v>428</v>
      </c>
      <c r="B382" s="17">
        <f t="shared" si="19"/>
        <v>2102184347.3844571</v>
      </c>
      <c r="D382" s="8">
        <f t="shared" si="20"/>
        <v>7.1249821136943678E-15</v>
      </c>
      <c r="F382" s="2">
        <f t="shared" si="18"/>
        <v>1.4978025874802524E-5</v>
      </c>
      <c r="H382" s="2">
        <f>SUM(F$4:F382)</f>
        <v>483.92667880598106</v>
      </c>
      <c r="I382" s="5" t="s">
        <v>946</v>
      </c>
    </row>
    <row r="383" spans="1:9">
      <c r="A383" s="1" t="s">
        <v>429</v>
      </c>
      <c r="B383" s="17">
        <f t="shared" si="19"/>
        <v>2207293564.7536802</v>
      </c>
      <c r="D383" s="8">
        <f t="shared" si="20"/>
        <v>6.5366808382517132E-15</v>
      </c>
      <c r="F383" s="2">
        <f t="shared" si="18"/>
        <v>1.4428373549121699E-5</v>
      </c>
      <c r="H383" s="2">
        <f>SUM(F$4:F383)</f>
        <v>483.92669323435462</v>
      </c>
      <c r="I383" s="5" t="s">
        <v>947</v>
      </c>
    </row>
    <row r="384" spans="1:9">
      <c r="A384" s="1" t="s">
        <v>430</v>
      </c>
      <c r="B384" s="17">
        <f t="shared" si="19"/>
        <v>2317658242.9913645</v>
      </c>
      <c r="D384" s="8">
        <f t="shared" si="20"/>
        <v>5.9969548974786353E-15</v>
      </c>
      <c r="F384" s="2">
        <f t="shared" si="18"/>
        <v>1.3898891950988793E-5</v>
      </c>
      <c r="H384" s="2">
        <f>SUM(F$4:F384)</f>
        <v>483.92670713324657</v>
      </c>
      <c r="I384" s="5" t="s">
        <v>948</v>
      </c>
    </row>
    <row r="385" spans="1:9">
      <c r="A385" s="1" t="s">
        <v>431</v>
      </c>
      <c r="B385" s="17">
        <f t="shared" si="19"/>
        <v>2433541155.140933</v>
      </c>
      <c r="D385" s="8">
        <f t="shared" si="20"/>
        <v>5.5017934839253529E-15</v>
      </c>
      <c r="F385" s="2">
        <f t="shared" si="18"/>
        <v>1.3388840870218562E-5</v>
      </c>
      <c r="H385" s="2">
        <f>SUM(F$4:F385)</f>
        <v>483.92672052208746</v>
      </c>
      <c r="I385" s="5" t="s">
        <v>949</v>
      </c>
    </row>
    <row r="386" spans="1:9">
      <c r="A386" s="1" t="s">
        <v>432</v>
      </c>
      <c r="B386" s="17">
        <f t="shared" si="19"/>
        <v>2555218212.8979797</v>
      </c>
      <c r="D386" s="8">
        <f t="shared" si="20"/>
        <v>5.0475169577296814E-15</v>
      </c>
      <c r="F386" s="2">
        <f t="shared" si="18"/>
        <v>1.2897507260302283E-5</v>
      </c>
      <c r="H386" s="2">
        <f>SUM(F$4:F386)</f>
        <v>483.92673341959471</v>
      </c>
      <c r="I386" s="5" t="s">
        <v>950</v>
      </c>
    </row>
    <row r="387" spans="1:9">
      <c r="A387" s="1" t="s">
        <v>433</v>
      </c>
      <c r="B387" s="17">
        <f t="shared" si="19"/>
        <v>2682979123.5428786</v>
      </c>
      <c r="D387" s="8">
        <f t="shared" si="20"/>
        <v>4.6307495025042948E-15</v>
      </c>
      <c r="F387" s="2">
        <f t="shared" si="18"/>
        <v>1.2424204241575594E-5</v>
      </c>
      <c r="H387" s="2">
        <f>SUM(F$4:F387)</f>
        <v>483.92674584379893</v>
      </c>
      <c r="I387" s="5" t="s">
        <v>951</v>
      </c>
    </row>
    <row r="388" spans="1:9">
      <c r="A388" s="1" t="s">
        <v>434</v>
      </c>
      <c r="B388" s="17">
        <f t="shared" si="19"/>
        <v>2817128079.7200227</v>
      </c>
      <c r="D388" s="8">
        <f t="shared" si="20"/>
        <v>4.2483940389947653E-15</v>
      </c>
      <c r="F388" s="2">
        <f t="shared" si="18"/>
        <v>1.1968270140967314E-5</v>
      </c>
      <c r="H388" s="2">
        <f>SUM(F$4:F388)</f>
        <v>483.92675781206907</v>
      </c>
      <c r="I388" s="5" t="s">
        <v>952</v>
      </c>
    </row>
    <row r="389" spans="1:9">
      <c r="A389" s="1" t="s">
        <v>435</v>
      </c>
      <c r="B389" s="17">
        <f t="shared" si="19"/>
        <v>2957984483.7060242</v>
      </c>
      <c r="D389" s="8">
        <f t="shared" si="20"/>
        <v>3.8976092100869403E-15</v>
      </c>
      <c r="F389" s="2">
        <f t="shared" si="18"/>
        <v>1.1529067566986863E-5</v>
      </c>
      <c r="H389" s="2">
        <f>SUM(F$4:F389)</f>
        <v>483.92676934113666</v>
      </c>
      <c r="I389" s="5" t="s">
        <v>953</v>
      </c>
    </row>
    <row r="390" spans="1:9">
      <c r="A390" s="1" t="s">
        <v>436</v>
      </c>
      <c r="B390" s="17">
        <f t="shared" si="19"/>
        <v>3105883707.8913255</v>
      </c>
      <c r="D390" s="8">
        <f t="shared" si="20"/>
        <v>3.5757882661348072E-15</v>
      </c>
      <c r="F390" s="2">
        <f t="shared" si="18"/>
        <v>1.1105982518657068E-5</v>
      </c>
      <c r="H390" s="2">
        <f>SUM(F$4:F390)</f>
        <v>483.9267804471192</v>
      </c>
      <c r="I390" s="5" t="s">
        <v>954</v>
      </c>
    </row>
    <row r="391" spans="1:9">
      <c r="A391" s="1" t="s">
        <v>437</v>
      </c>
      <c r="B391" s="17">
        <f t="shared" si="19"/>
        <v>3261177893.285892</v>
      </c>
      <c r="D391" s="8">
        <f t="shared" si="20"/>
        <v>3.2805396937016575E-15</v>
      </c>
      <c r="F391" s="2">
        <f t="shared" si="18"/>
        <v>1.0698423527146717E-5</v>
      </c>
      <c r="H391" s="2">
        <f>SUM(F$4:F391)</f>
        <v>483.92679114554272</v>
      </c>
      <c r="I391" s="5" t="s">
        <v>955</v>
      </c>
    </row>
    <row r="392" spans="1:9">
      <c r="A392" s="1" t="s">
        <v>438</v>
      </c>
      <c r="B392" s="17">
        <f t="shared" si="19"/>
        <v>3424236787.9501867</v>
      </c>
      <c r="D392" s="8">
        <f t="shared" si="20"/>
        <v>3.0096694437629884E-15</v>
      </c>
      <c r="F392" s="2">
        <f t="shared" si="18"/>
        <v>1.03058208289028E-5</v>
      </c>
      <c r="H392" s="2">
        <f>SUM(F$4:F392)</f>
        <v>483.92680145136353</v>
      </c>
      <c r="I392" s="5" t="s">
        <v>956</v>
      </c>
    </row>
    <row r="393" spans="1:9">
      <c r="A393" s="1" t="s">
        <v>439</v>
      </c>
      <c r="B393" s="17">
        <f t="shared" si="19"/>
        <v>3595448627.3476963</v>
      </c>
      <c r="D393" s="8">
        <f t="shared" si="20"/>
        <v>2.7611646273054938E-15</v>
      </c>
      <c r="F393" s="2">
        <f t="shared" si="18"/>
        <v>9.9276255691265513E-6</v>
      </c>
      <c r="H393" s="2">
        <f>SUM(F$4:F393)</f>
        <v>483.9268113789891</v>
      </c>
      <c r="I393" s="5" t="s">
        <v>957</v>
      </c>
    </row>
    <row r="394" spans="1:9">
      <c r="A394" s="1" t="s">
        <v>440</v>
      </c>
      <c r="B394" s="17">
        <f t="shared" si="19"/>
        <v>3775221058.7150812</v>
      </c>
      <c r="D394" s="8">
        <f t="shared" si="20"/>
        <v>2.5331785571610033E-15</v>
      </c>
      <c r="F394" s="2">
        <f t="shared" si="18"/>
        <v>9.5633090344797043E-6</v>
      </c>
      <c r="H394" s="2">
        <f>SUM(F$4:F394)</f>
        <v>483.92682094229815</v>
      </c>
      <c r="I394" s="5" t="s">
        <v>958</v>
      </c>
    </row>
    <row r="395" spans="1:9">
      <c r="A395" s="1" t="s">
        <v>441</v>
      </c>
      <c r="B395" s="17">
        <f t="shared" si="19"/>
        <v>3963982111.6508355</v>
      </c>
      <c r="D395" s="8">
        <f t="shared" si="20"/>
        <v>2.3240170249183517E-15</v>
      </c>
      <c r="F395" s="2">
        <f t="shared" si="18"/>
        <v>9.2123619139483401E-6</v>
      </c>
      <c r="H395" s="2">
        <f>SUM(F$4:F395)</f>
        <v>483.92683015466008</v>
      </c>
      <c r="I395" s="5" t="s">
        <v>959</v>
      </c>
    </row>
    <row r="396" spans="1:9">
      <c r="A396" s="1" t="s">
        <v>442</v>
      </c>
      <c r="B396" s="17">
        <f t="shared" si="19"/>
        <v>4162181217.2333775</v>
      </c>
      <c r="D396" s="8">
        <f t="shared" si="20"/>
        <v>2.1321257109342675E-15</v>
      </c>
      <c r="F396" s="2">
        <f t="shared" si="18"/>
        <v>8.8742935868309699E-6</v>
      </c>
      <c r="H396" s="2">
        <f>SUM(F$4:F396)</f>
        <v>483.92683902895368</v>
      </c>
      <c r="I396" s="5" t="s">
        <v>960</v>
      </c>
    </row>
    <row r="397" spans="1:9">
      <c r="A397" s="1" t="s">
        <v>443</v>
      </c>
      <c r="B397" s="17">
        <f t="shared" si="19"/>
        <v>4370290278.095046</v>
      </c>
      <c r="D397" s="8">
        <f t="shared" si="20"/>
        <v>1.9560786338846488E-15</v>
      </c>
      <c r="F397" s="2">
        <f t="shared" si="18"/>
        <v>8.5486314368555193E-6</v>
      </c>
      <c r="H397" s="2">
        <f>SUM(F$4:F397)</f>
        <v>483.92684757758514</v>
      </c>
      <c r="I397" s="5" t="s">
        <v>961</v>
      </c>
    </row>
    <row r="398" spans="1:9">
      <c r="A398" s="1" t="s">
        <v>444</v>
      </c>
      <c r="B398" s="17">
        <f t="shared" si="19"/>
        <v>4588804791.9997988</v>
      </c>
      <c r="D398" s="8">
        <f t="shared" si="20"/>
        <v>1.7945675540226135E-15</v>
      </c>
      <c r="F398" s="2">
        <f t="shared" si="18"/>
        <v>8.234920191466327E-6</v>
      </c>
      <c r="H398" s="2">
        <f>SUM(F$4:F398)</f>
        <v>483.92685581250532</v>
      </c>
      <c r="I398" s="5" t="s">
        <v>962</v>
      </c>
    </row>
    <row r="399" spans="1:9">
      <c r="A399" s="1" t="s">
        <v>445</v>
      </c>
      <c r="B399" s="17">
        <f t="shared" si="19"/>
        <v>4818245031.5997887</v>
      </c>
      <c r="D399" s="8">
        <f t="shared" si="20"/>
        <v>1.6463922513968929E-15</v>
      </c>
      <c r="F399" s="2">
        <f t="shared" si="18"/>
        <v>7.9327212853574703E-6</v>
      </c>
      <c r="H399" s="2">
        <f>SUM(F$4:F399)</f>
        <v>483.92686374522663</v>
      </c>
      <c r="I399" s="5" t="s">
        <v>963</v>
      </c>
    </row>
    <row r="400" spans="1:9">
      <c r="A400" s="1" t="s">
        <v>446</v>
      </c>
      <c r="B400" s="17">
        <f t="shared" si="19"/>
        <v>5059157283.1797781</v>
      </c>
      <c r="D400" s="8">
        <f t="shared" si="20"/>
        <v>1.5104516067861403E-15</v>
      </c>
      <c r="F400" s="2">
        <f t="shared" ref="F400:F463" si="21">B400*D400</f>
        <v>7.6416122473627002E-6</v>
      </c>
      <c r="H400" s="2">
        <f>SUM(F$4:F400)</f>
        <v>483.92687138683885</v>
      </c>
      <c r="I400" s="5" t="s">
        <v>964</v>
      </c>
    </row>
    <row r="401" spans="1:9">
      <c r="A401" s="1" t="s">
        <v>447</v>
      </c>
      <c r="B401" s="17">
        <f t="shared" ref="B401:B464" si="22">B400*(1+5%)</f>
        <v>5312115147.3387671</v>
      </c>
      <c r="D401" s="8">
        <f t="shared" ref="D401:D464" si="23">D400/(1+9%)</f>
        <v>1.3857354190698533E-15</v>
      </c>
      <c r="F401" s="2">
        <f t="shared" si="21"/>
        <v>7.3611861098448013E-6</v>
      </c>
      <c r="H401" s="2">
        <f>SUM(F$4:F401)</f>
        <v>483.92687874802499</v>
      </c>
      <c r="I401" s="5" t="s">
        <v>965</v>
      </c>
    </row>
    <row r="402" spans="1:9">
      <c r="A402" s="1" t="s">
        <v>448</v>
      </c>
      <c r="B402" s="17">
        <f t="shared" si="22"/>
        <v>5577720904.7057056</v>
      </c>
      <c r="D402" s="8">
        <f t="shared" si="23"/>
        <v>1.2713168982292231E-15</v>
      </c>
      <c r="F402" s="2">
        <f t="shared" si="21"/>
        <v>7.0910508397587542E-6</v>
      </c>
      <c r="H402" s="2">
        <f>SUM(F$4:F402)</f>
        <v>483.92688583907585</v>
      </c>
      <c r="I402" s="5" t="s">
        <v>966</v>
      </c>
    </row>
    <row r="403" spans="1:9">
      <c r="A403" s="1" t="s">
        <v>449</v>
      </c>
      <c r="B403" s="17">
        <f t="shared" si="22"/>
        <v>5856606949.9409914</v>
      </c>
      <c r="D403" s="8">
        <f t="shared" si="23"/>
        <v>1.1663457781919476E-15</v>
      </c>
      <c r="F403" s="2">
        <f t="shared" si="21"/>
        <v>6.8308287905932944E-6</v>
      </c>
      <c r="H403" s="2">
        <f>SUM(F$4:F403)</f>
        <v>483.92689266990465</v>
      </c>
      <c r="I403" s="5" t="s">
        <v>967</v>
      </c>
    </row>
    <row r="404" spans="1:9">
      <c r="A404" s="1" t="s">
        <v>450</v>
      </c>
      <c r="B404" s="17">
        <f t="shared" si="22"/>
        <v>6149437297.4380417</v>
      </c>
      <c r="D404" s="8">
        <f t="shared" si="23"/>
        <v>1.0700419983412363E-15</v>
      </c>
      <c r="F404" s="2">
        <f t="shared" si="21"/>
        <v>6.5801561744247334E-6</v>
      </c>
      <c r="H404" s="2">
        <f>SUM(F$4:F404)</f>
        <v>483.92689925006084</v>
      </c>
      <c r="I404" s="5" t="s">
        <v>968</v>
      </c>
    </row>
    <row r="405" spans="1:9">
      <c r="A405" s="1" t="s">
        <v>451</v>
      </c>
      <c r="B405" s="17">
        <f t="shared" si="22"/>
        <v>6456909162.3099442</v>
      </c>
      <c r="D405" s="8">
        <f t="shared" si="23"/>
        <v>9.8168990673507905E-16</v>
      </c>
      <c r="F405" s="2">
        <f t="shared" si="21"/>
        <v>6.3386825533449267E-6</v>
      </c>
      <c r="H405" s="2">
        <f>SUM(F$4:F405)</f>
        <v>483.92690558874341</v>
      </c>
      <c r="I405" s="5" t="s">
        <v>969</v>
      </c>
    </row>
    <row r="406" spans="1:9">
      <c r="A406" s="1" t="s">
        <v>452</v>
      </c>
      <c r="B406" s="17">
        <f t="shared" si="22"/>
        <v>6779754620.4254417</v>
      </c>
      <c r="D406" s="8">
        <f t="shared" si="23"/>
        <v>9.0063294195878804E-16</v>
      </c>
      <c r="F406" s="2">
        <f t="shared" si="21"/>
        <v>6.1060703495524516E-6</v>
      </c>
      <c r="H406" s="2">
        <f>SUM(F$4:F406)</f>
        <v>483.92691169481378</v>
      </c>
      <c r="I406" s="5" t="s">
        <v>970</v>
      </c>
    </row>
    <row r="407" spans="1:9">
      <c r="A407" s="1" t="s">
        <v>453</v>
      </c>
      <c r="B407" s="17">
        <f t="shared" si="22"/>
        <v>7118742351.4467144</v>
      </c>
      <c r="D407" s="8">
        <f t="shared" si="23"/>
        <v>8.2626875409063117E-16</v>
      </c>
      <c r="F407" s="2">
        <f t="shared" si="21"/>
        <v>5.8819943734220871E-6</v>
      </c>
      <c r="H407" s="2">
        <f>SUM(F$4:F407)</f>
        <v>483.92691757680814</v>
      </c>
      <c r="I407" s="5" t="s">
        <v>971</v>
      </c>
    </row>
    <row r="408" spans="1:9">
      <c r="A408" s="1" t="s">
        <v>454</v>
      </c>
      <c r="B408" s="17">
        <f t="shared" si="22"/>
        <v>7474679469.0190506</v>
      </c>
      <c r="D408" s="8">
        <f t="shared" si="23"/>
        <v>7.580447285235148E-16</v>
      </c>
      <c r="F408" s="2">
        <f t="shared" si="21"/>
        <v>5.6661413688928362E-6</v>
      </c>
      <c r="H408" s="2">
        <f>SUM(F$4:F408)</f>
        <v>483.9269232429495</v>
      </c>
      <c r="I408" s="5" t="s">
        <v>972</v>
      </c>
    </row>
    <row r="409" spans="1:9">
      <c r="A409" s="1" t="s">
        <v>455</v>
      </c>
      <c r="B409" s="17">
        <f t="shared" si="22"/>
        <v>7848413442.4700031</v>
      </c>
      <c r="D409" s="8">
        <f t="shared" si="23"/>
        <v>6.9545387937937136E-16</v>
      </c>
      <c r="F409" s="2">
        <f t="shared" si="21"/>
        <v>5.4582095755389707E-6</v>
      </c>
      <c r="H409" s="2">
        <f>SUM(F$4:F409)</f>
        <v>483.92692870115906</v>
      </c>
      <c r="I409" s="5" t="s">
        <v>973</v>
      </c>
    </row>
    <row r="410" spans="1:9">
      <c r="A410" s="1" t="s">
        <v>456</v>
      </c>
      <c r="B410" s="17">
        <f t="shared" si="22"/>
        <v>8240834114.593504</v>
      </c>
      <c r="D410" s="8">
        <f t="shared" si="23"/>
        <v>6.3803108199942322E-16</v>
      </c>
      <c r="F410" s="2">
        <f t="shared" si="21"/>
        <v>5.2579083067118519E-6</v>
      </c>
      <c r="H410" s="2">
        <f>SUM(F$4:F410)</f>
        <v>483.92693395906736</v>
      </c>
      <c r="I410" s="5" t="s">
        <v>974</v>
      </c>
    </row>
    <row r="411" spans="1:9">
      <c r="A411" s="1" t="s">
        <v>457</v>
      </c>
      <c r="B411" s="17">
        <f t="shared" si="22"/>
        <v>8652875820.3231792</v>
      </c>
      <c r="D411" s="8">
        <f t="shared" si="23"/>
        <v>5.8534961651323224E-16</v>
      </c>
      <c r="F411" s="2">
        <f t="shared" si="21"/>
        <v>5.0649575431627926E-6</v>
      </c>
      <c r="H411" s="2">
        <f>SUM(F$4:F411)</f>
        <v>483.92693902402488</v>
      </c>
      <c r="I411" s="5" t="s">
        <v>975</v>
      </c>
    </row>
    <row r="412" spans="1:9">
      <c r="A412" s="1" t="s">
        <v>458</v>
      </c>
      <c r="B412" s="17">
        <f t="shared" si="22"/>
        <v>9085519611.3393383</v>
      </c>
      <c r="D412" s="8">
        <f t="shared" si="23"/>
        <v>5.3701799680113044E-16</v>
      </c>
      <c r="F412" s="2">
        <f t="shared" si="21"/>
        <v>4.8790875415788369E-6</v>
      </c>
      <c r="H412" s="2">
        <f>SUM(F$4:F412)</f>
        <v>483.92694390311243</v>
      </c>
      <c r="I412" s="5" t="s">
        <v>976</v>
      </c>
    </row>
    <row r="413" spans="1:9">
      <c r="A413" s="1" t="s">
        <v>459</v>
      </c>
      <c r="B413" s="17">
        <f t="shared" si="22"/>
        <v>9539795591.9063053</v>
      </c>
      <c r="D413" s="8">
        <f t="shared" si="23"/>
        <v>4.9267706128544075E-16</v>
      </c>
      <c r="F413" s="2">
        <f t="shared" si="21"/>
        <v>4.7000384574842004E-6</v>
      </c>
      <c r="H413" s="2">
        <f>SUM(F$4:F413)</f>
        <v>483.92694860315089</v>
      </c>
      <c r="I413" s="5" t="s">
        <v>977</v>
      </c>
    </row>
    <row r="414" spans="1:9">
      <c r="A414" s="1" t="s">
        <v>460</v>
      </c>
      <c r="B414" s="17">
        <f t="shared" si="22"/>
        <v>10016785371.501621</v>
      </c>
      <c r="D414" s="8">
        <f t="shared" si="23"/>
        <v>4.51997303931597E-16</v>
      </c>
      <c r="F414" s="2">
        <f t="shared" si="21"/>
        <v>4.5275599819801934E-6</v>
      </c>
      <c r="H414" s="2">
        <f>SUM(F$4:F414)</f>
        <v>483.9269531307109</v>
      </c>
      <c r="I414" s="5" t="s">
        <v>978</v>
      </c>
    </row>
    <row r="415" spans="1:9">
      <c r="A415" s="1" t="s">
        <v>461</v>
      </c>
      <c r="B415" s="17">
        <f t="shared" si="22"/>
        <v>10517624640.076702</v>
      </c>
      <c r="D415" s="8">
        <f t="shared" si="23"/>
        <v>4.1467642562531832E-16</v>
      </c>
      <c r="F415" s="2">
        <f t="shared" si="21"/>
        <v>4.3614109918157817E-6</v>
      </c>
      <c r="H415" s="2">
        <f>SUM(F$4:F415)</f>
        <v>483.92695749212191</v>
      </c>
      <c r="I415" s="5" t="s">
        <v>979</v>
      </c>
    </row>
    <row r="416" spans="1:9">
      <c r="A416" s="1" t="s">
        <v>462</v>
      </c>
      <c r="B416" s="17">
        <f t="shared" si="22"/>
        <v>11043505872.080538</v>
      </c>
      <c r="D416" s="8">
        <f t="shared" si="23"/>
        <v>3.8043708772964979E-16</v>
      </c>
      <c r="F416" s="2">
        <f t="shared" si="21"/>
        <v>4.2013592122996065E-6</v>
      </c>
      <c r="H416" s="2">
        <f>SUM(F$4:F416)</f>
        <v>483.92696169348113</v>
      </c>
      <c r="I416" s="5" t="s">
        <v>980</v>
      </c>
    </row>
    <row r="417" spans="1:9">
      <c r="A417" s="1" t="s">
        <v>463</v>
      </c>
      <c r="B417" s="17">
        <f t="shared" si="22"/>
        <v>11595681165.684565</v>
      </c>
      <c r="D417" s="8">
        <f t="shared" si="23"/>
        <v>3.4902485112811903E-16</v>
      </c>
      <c r="F417" s="2">
        <f t="shared" si="21"/>
        <v>4.0471808925821892E-6</v>
      </c>
      <c r="H417" s="2">
        <f>SUM(F$4:F417)</f>
        <v>483.92696574066201</v>
      </c>
      <c r="I417" s="5" t="s">
        <v>981</v>
      </c>
    </row>
    <row r="418" spans="1:9">
      <c r="A418" s="1" t="s">
        <v>464</v>
      </c>
      <c r="B418" s="17">
        <f t="shared" si="22"/>
        <v>12175465223.968794</v>
      </c>
      <c r="D418" s="8">
        <f t="shared" si="23"/>
        <v>3.2020628543864128E-16</v>
      </c>
      <c r="F418" s="2">
        <f t="shared" si="21"/>
        <v>3.898660492854402E-6</v>
      </c>
      <c r="H418" s="2">
        <f>SUM(F$4:F418)</f>
        <v>483.92696963932252</v>
      </c>
      <c r="I418" s="5" t="s">
        <v>982</v>
      </c>
    </row>
    <row r="419" spans="1:9">
      <c r="A419" s="1" t="s">
        <v>465</v>
      </c>
      <c r="B419" s="17">
        <f t="shared" si="22"/>
        <v>12784238485.167234</v>
      </c>
      <c r="D419" s="8">
        <f t="shared" si="23"/>
        <v>2.9376723434737729E-16</v>
      </c>
      <c r="F419" s="2">
        <f t="shared" si="21"/>
        <v>3.7555903830248825E-6</v>
      </c>
      <c r="H419" s="2">
        <f>SUM(F$4:F419)</f>
        <v>483.92697339491292</v>
      </c>
      <c r="I419" s="5" t="s">
        <v>983</v>
      </c>
    </row>
    <row r="420" spans="1:9">
      <c r="A420" s="1" t="s">
        <v>466</v>
      </c>
      <c r="B420" s="17">
        <f t="shared" si="22"/>
        <v>13423450409.425596</v>
      </c>
      <c r="D420" s="8">
        <f t="shared" si="23"/>
        <v>2.6951122417190573E-16</v>
      </c>
      <c r="F420" s="2">
        <f t="shared" si="21"/>
        <v>3.6177705524551614E-6</v>
      </c>
      <c r="H420" s="2">
        <f>SUM(F$4:F420)</f>
        <v>483.92697701268349</v>
      </c>
      <c r="I420" s="5" t="s">
        <v>984</v>
      </c>
    </row>
    <row r="421" spans="1:9">
      <c r="A421" s="1" t="s">
        <v>467</v>
      </c>
      <c r="B421" s="17">
        <f t="shared" si="22"/>
        <v>14094622929.896877</v>
      </c>
      <c r="D421" s="8">
        <f t="shared" si="23"/>
        <v>2.4725800382743642E-16</v>
      </c>
      <c r="F421" s="2">
        <f t="shared" si="21"/>
        <v>3.4850083303467152E-6</v>
      </c>
      <c r="H421" s="2">
        <f>SUM(F$4:F421)</f>
        <v>483.92698049769183</v>
      </c>
      <c r="I421" s="5" t="s">
        <v>985</v>
      </c>
    </row>
    <row r="422" spans="1:9">
      <c r="A422" s="1" t="s">
        <v>468</v>
      </c>
      <c r="B422" s="17">
        <f t="shared" si="22"/>
        <v>14799354076.391722</v>
      </c>
      <c r="D422" s="8">
        <f t="shared" si="23"/>
        <v>2.2684220534627193E-16</v>
      </c>
      <c r="F422" s="2">
        <f t="shared" si="21"/>
        <v>3.3571181163890372E-6</v>
      </c>
      <c r="H422" s="2">
        <f>SUM(F$4:F422)</f>
        <v>483.92698385480992</v>
      </c>
      <c r="I422" s="5" t="s">
        <v>986</v>
      </c>
    </row>
    <row r="423" spans="1:9">
      <c r="A423" s="1" t="s">
        <v>469</v>
      </c>
      <c r="B423" s="17">
        <f t="shared" si="22"/>
        <v>15539321780.211308</v>
      </c>
      <c r="D423" s="8">
        <f t="shared" si="23"/>
        <v>2.0811211499657973E-16</v>
      </c>
      <c r="F423" s="2">
        <f t="shared" si="21"/>
        <v>3.2339211212921916E-6</v>
      </c>
      <c r="H423" s="2">
        <f>SUM(F$4:F423)</f>
        <v>483.92698708873104</v>
      </c>
      <c r="I423" s="5" t="s">
        <v>987</v>
      </c>
    </row>
    <row r="424" spans="1:9">
      <c r="A424" s="1" t="s">
        <v>470</v>
      </c>
      <c r="B424" s="17">
        <f t="shared" si="22"/>
        <v>16316287869.221874</v>
      </c>
      <c r="D424" s="8">
        <f t="shared" si="23"/>
        <v>1.9092854586842176E-16</v>
      </c>
      <c r="F424" s="2">
        <f t="shared" si="21"/>
        <v>3.115245116841102E-6</v>
      </c>
      <c r="H424" s="2">
        <f>SUM(F$4:F424)</f>
        <v>483.92699020397617</v>
      </c>
      <c r="I424" s="5" t="s">
        <v>988</v>
      </c>
    </row>
    <row r="425" spans="1:9">
      <c r="A425" s="1" t="s">
        <v>471</v>
      </c>
      <c r="B425" s="17">
        <f t="shared" si="22"/>
        <v>17132102262.682968</v>
      </c>
      <c r="D425" s="8">
        <f t="shared" si="23"/>
        <v>1.7516380354901077E-16</v>
      </c>
      <c r="F425" s="2">
        <f t="shared" si="21"/>
        <v>3.0009241951221622E-6</v>
      </c>
      <c r="H425" s="2">
        <f>SUM(F$4:F425)</f>
        <v>483.92699320490038</v>
      </c>
      <c r="I425" s="5" t="s">
        <v>989</v>
      </c>
    </row>
    <row r="426" spans="1:9">
      <c r="A426" s="1" t="s">
        <v>472</v>
      </c>
      <c r="B426" s="17">
        <f t="shared" si="22"/>
        <v>17988707375.817116</v>
      </c>
      <c r="D426" s="8">
        <f t="shared" si="23"/>
        <v>1.6070073720092729E-16</v>
      </c>
      <c r="F426" s="2">
        <f t="shared" si="21"/>
        <v>2.8907985365855688E-6</v>
      </c>
      <c r="H426" s="2">
        <f>SUM(F$4:F426)</f>
        <v>483.92699609569894</v>
      </c>
      <c r="I426" s="5" t="s">
        <v>990</v>
      </c>
    </row>
    <row r="427" spans="1:9">
      <c r="A427" s="1" t="s">
        <v>473</v>
      </c>
      <c r="B427" s="17">
        <f t="shared" si="22"/>
        <v>18888142744.607971</v>
      </c>
      <c r="D427" s="8">
        <f t="shared" si="23"/>
        <v>1.4743186899167641E-16</v>
      </c>
      <c r="F427" s="2">
        <f t="shared" si="21"/>
        <v>2.7847141866191258E-6</v>
      </c>
      <c r="H427" s="2">
        <f>SUM(F$4:F427)</f>
        <v>483.92699888041312</v>
      </c>
      <c r="I427" s="5" t="s">
        <v>991</v>
      </c>
    </row>
    <row r="428" spans="1:9">
      <c r="A428" s="1" t="s">
        <v>474</v>
      </c>
      <c r="B428" s="17">
        <f t="shared" si="22"/>
        <v>19832549881.838371</v>
      </c>
      <c r="D428" s="8">
        <f t="shared" si="23"/>
        <v>1.3525859540520771E-16</v>
      </c>
      <c r="F428" s="2">
        <f t="shared" si="21"/>
        <v>2.6825228403211763E-6</v>
      </c>
      <c r="H428" s="2">
        <f>SUM(F$4:F428)</f>
        <v>483.92700156293597</v>
      </c>
      <c r="I428" s="5" t="s">
        <v>992</v>
      </c>
    </row>
    <row r="429" spans="1:9">
      <c r="A429" s="1" t="s">
        <v>475</v>
      </c>
      <c r="B429" s="17">
        <f t="shared" si="22"/>
        <v>20824177375.93029</v>
      </c>
      <c r="D429" s="8">
        <f t="shared" si="23"/>
        <v>1.2409045450019055E-16</v>
      </c>
      <c r="F429" s="2">
        <f t="shared" si="21"/>
        <v>2.5840816351717753E-6</v>
      </c>
      <c r="H429" s="2">
        <f>SUM(F$4:F429)</f>
        <v>483.92700414701761</v>
      </c>
      <c r="I429" s="5" t="s">
        <v>993</v>
      </c>
    </row>
    <row r="430" spans="1:9">
      <c r="A430" s="1" t="s">
        <v>476</v>
      </c>
      <c r="B430" s="17">
        <f t="shared" si="22"/>
        <v>21865386244.726807</v>
      </c>
      <c r="D430" s="8">
        <f t="shared" si="23"/>
        <v>1.1384445366989959E-16</v>
      </c>
      <c r="F430" s="2">
        <f t="shared" si="21"/>
        <v>2.4892529513122605E-6</v>
      </c>
      <c r="H430" s="2">
        <f>SUM(F$4:F430)</f>
        <v>483.92700663627056</v>
      </c>
      <c r="I430" s="5" t="s">
        <v>994</v>
      </c>
    </row>
    <row r="431" spans="1:9">
      <c r="A431" s="1" t="s">
        <v>477</v>
      </c>
      <c r="B431" s="17">
        <f t="shared" si="22"/>
        <v>22958655556.963146</v>
      </c>
      <c r="D431" s="8">
        <f t="shared" si="23"/>
        <v>1.0444445290816474E-16</v>
      </c>
      <c r="F431" s="2">
        <f t="shared" si="21"/>
        <v>2.3979042191540123E-6</v>
      </c>
      <c r="H431" s="2">
        <f>SUM(F$4:F431)</f>
        <v>483.92700903417477</v>
      </c>
      <c r="I431" s="5" t="s">
        <v>995</v>
      </c>
    </row>
    <row r="432" spans="1:9">
      <c r="A432" s="1" t="s">
        <v>478</v>
      </c>
      <c r="B432" s="17">
        <f t="shared" si="22"/>
        <v>24106588334.811306</v>
      </c>
      <c r="D432" s="8">
        <f t="shared" si="23"/>
        <v>9.5820598998316268E-17</v>
      </c>
      <c r="F432" s="2">
        <f t="shared" si="21"/>
        <v>2.3099077340474427E-6</v>
      </c>
      <c r="H432" s="2">
        <f>SUM(F$4:F432)</f>
        <v>483.92701134408253</v>
      </c>
      <c r="I432" s="5" t="s">
        <v>996</v>
      </c>
    </row>
    <row r="433" spans="1:9">
      <c r="A433" s="1" t="s">
        <v>479</v>
      </c>
      <c r="B433" s="17">
        <f t="shared" si="22"/>
        <v>25311917751.551872</v>
      </c>
      <c r="D433" s="8">
        <f t="shared" si="23"/>
        <v>8.7908806420473631E-17</v>
      </c>
      <c r="F433" s="2">
        <f t="shared" si="21"/>
        <v>2.2251404777521236E-6</v>
      </c>
      <c r="H433" s="2">
        <f>SUM(F$4:F433)</f>
        <v>483.92701356922299</v>
      </c>
      <c r="I433" s="5" t="s">
        <v>997</v>
      </c>
    </row>
    <row r="434" spans="1:9">
      <c r="A434" s="1" t="s">
        <v>480</v>
      </c>
      <c r="B434" s="17">
        <f t="shared" si="22"/>
        <v>26577513639.129467</v>
      </c>
      <c r="D434" s="8">
        <f t="shared" si="23"/>
        <v>8.0650281119700578E-17</v>
      </c>
      <c r="F434" s="2">
        <f t="shared" si="21"/>
        <v>2.1434839464584679E-6</v>
      </c>
      <c r="H434" s="2">
        <f>SUM(F$4:F434)</f>
        <v>483.92701571270692</v>
      </c>
      <c r="I434" s="5" t="s">
        <v>998</v>
      </c>
    </row>
    <row r="435" spans="1:9">
      <c r="A435" s="1" t="s">
        <v>481</v>
      </c>
      <c r="B435" s="17">
        <f t="shared" si="22"/>
        <v>27906389321.085941</v>
      </c>
      <c r="D435" s="8">
        <f t="shared" si="23"/>
        <v>7.3991083596055567E-17</v>
      </c>
      <c r="F435" s="2">
        <f t="shared" si="21"/>
        <v>2.0648239851205423E-6</v>
      </c>
      <c r="H435" s="2">
        <f>SUM(F$4:F435)</f>
        <v>483.92701777753092</v>
      </c>
      <c r="I435" s="5" t="s">
        <v>999</v>
      </c>
    </row>
    <row r="436" spans="1:9">
      <c r="A436" s="1" t="s">
        <v>482</v>
      </c>
      <c r="B436" s="17">
        <f t="shared" si="22"/>
        <v>29301708787.14024</v>
      </c>
      <c r="D436" s="8">
        <f t="shared" si="23"/>
        <v>6.7881728069775746E-17</v>
      </c>
      <c r="F436" s="2">
        <f t="shared" si="21"/>
        <v>1.9890506278684124E-6</v>
      </c>
      <c r="H436" s="2">
        <f>SUM(F$4:F436)</f>
        <v>483.92701976658157</v>
      </c>
      <c r="I436" s="5" t="s">
        <v>1000</v>
      </c>
    </row>
    <row r="437" spans="1:9">
      <c r="A437" s="1" t="s">
        <v>483</v>
      </c>
      <c r="B437" s="17">
        <f t="shared" si="22"/>
        <v>30766794226.497253</v>
      </c>
      <c r="D437" s="8">
        <f t="shared" si="23"/>
        <v>6.2276814742913527E-17</v>
      </c>
      <c r="F437" s="2">
        <f t="shared" si="21"/>
        <v>1.9160579442769108E-6</v>
      </c>
      <c r="H437" s="2">
        <f>SUM(F$4:F437)</f>
        <v>483.92702168263952</v>
      </c>
      <c r="I437" s="5" t="s">
        <v>1001</v>
      </c>
    </row>
    <row r="438" spans="1:9">
      <c r="A438" s="1" t="s">
        <v>484</v>
      </c>
      <c r="B438" s="17">
        <f t="shared" si="22"/>
        <v>32305133937.822117</v>
      </c>
      <c r="D438" s="8">
        <f t="shared" si="23"/>
        <v>5.7134692424691304E-17</v>
      </c>
      <c r="F438" s="2">
        <f t="shared" si="21"/>
        <v>1.8457438912759234E-6</v>
      </c>
      <c r="H438" s="2">
        <f>SUM(F$4:F438)</f>
        <v>483.92702352838342</v>
      </c>
      <c r="I438" s="5" t="s">
        <v>1002</v>
      </c>
    </row>
    <row r="439" spans="1:9">
      <c r="A439" s="1" t="s">
        <v>485</v>
      </c>
      <c r="B439" s="17">
        <f t="shared" si="22"/>
        <v>33920390634.713223</v>
      </c>
      <c r="D439" s="8">
        <f t="shared" si="23"/>
        <v>5.2417149013478259E-17</v>
      </c>
      <c r="F439" s="2">
        <f t="shared" si="21"/>
        <v>1.7780101704951553E-6</v>
      </c>
      <c r="H439" s="2">
        <f>SUM(F$4:F439)</f>
        <v>483.9270253063936</v>
      </c>
      <c r="I439" s="5" t="s">
        <v>1003</v>
      </c>
    </row>
    <row r="440" spans="1:9">
      <c r="A440" s="1" t="s">
        <v>486</v>
      </c>
      <c r="B440" s="17">
        <f t="shared" si="22"/>
        <v>35616410166.448883</v>
      </c>
      <c r="D440" s="8">
        <f t="shared" si="23"/>
        <v>4.8089127535301149E-17</v>
      </c>
      <c r="F440" s="2">
        <f t="shared" si="21"/>
        <v>1.7127620908439568E-6</v>
      </c>
      <c r="H440" s="2">
        <f>SUM(F$4:F440)</f>
        <v>483.92702701915567</v>
      </c>
      <c r="I440" s="5" t="s">
        <v>1004</v>
      </c>
    </row>
    <row r="441" spans="1:9">
      <c r="A441" s="1" t="s">
        <v>487</v>
      </c>
      <c r="B441" s="17">
        <f t="shared" si="22"/>
        <v>37397230674.771332</v>
      </c>
      <c r="D441" s="8">
        <f t="shared" si="23"/>
        <v>4.4118465628716646E-17</v>
      </c>
      <c r="F441" s="2">
        <f t="shared" si="21"/>
        <v>1.6499084361340868E-6</v>
      </c>
      <c r="H441" s="2">
        <f>SUM(F$4:F441)</f>
        <v>483.9270286690641</v>
      </c>
      <c r="I441" s="5" t="s">
        <v>1005</v>
      </c>
    </row>
    <row r="442" spans="1:9">
      <c r="A442" s="1" t="s">
        <v>488</v>
      </c>
      <c r="B442" s="17">
        <f t="shared" si="22"/>
        <v>39267092208.509903</v>
      </c>
      <c r="D442" s="8">
        <f t="shared" si="23"/>
        <v>4.0475656540107012E-17</v>
      </c>
      <c r="F442" s="2">
        <f t="shared" si="21"/>
        <v>1.5893613375603589E-6</v>
      </c>
      <c r="H442" s="2">
        <f>SUM(F$4:F442)</f>
        <v>483.92703025842542</v>
      </c>
      <c r="I442" s="5" t="s">
        <v>1006</v>
      </c>
    </row>
    <row r="443" spans="1:9">
      <c r="A443" s="1" t="s">
        <v>489</v>
      </c>
      <c r="B443" s="17">
        <f t="shared" si="22"/>
        <v>41230446818.935402</v>
      </c>
      <c r="D443" s="8">
        <f t="shared" si="23"/>
        <v>3.7133629853309181E-17</v>
      </c>
      <c r="F443" s="2">
        <f t="shared" si="21"/>
        <v>1.5310361508608962E-6</v>
      </c>
      <c r="H443" s="2">
        <f>SUM(F$4:F443)</f>
        <v>483.92703178946158</v>
      </c>
      <c r="I443" s="5" t="s">
        <v>1007</v>
      </c>
    </row>
    <row r="444" spans="1:9">
      <c r="A444" s="1" t="s">
        <v>490</v>
      </c>
      <c r="B444" s="17">
        <f t="shared" si="22"/>
        <v>43291969159.882172</v>
      </c>
      <c r="D444" s="8">
        <f t="shared" si="23"/>
        <v>3.4067550324136859E-17</v>
      </c>
      <c r="F444" s="2">
        <f t="shared" si="21"/>
        <v>1.4748513379852669E-6</v>
      </c>
      <c r="H444" s="2">
        <f>SUM(F$4:F444)</f>
        <v>483.92703326431291</v>
      </c>
      <c r="I444" s="5" t="s">
        <v>1008</v>
      </c>
    </row>
    <row r="445" spans="1:9">
      <c r="A445" s="1" t="s">
        <v>491</v>
      </c>
      <c r="B445" s="17">
        <f t="shared" si="22"/>
        <v>45456567617.876282</v>
      </c>
      <c r="D445" s="8">
        <f t="shared" si="23"/>
        <v>3.1254633324896201E-17</v>
      </c>
      <c r="F445" s="2">
        <f t="shared" si="21"/>
        <v>1.4207283531050736E-6</v>
      </c>
      <c r="H445" s="2">
        <f>SUM(F$4:F445)</f>
        <v>483.92703468504129</v>
      </c>
      <c r="I445" s="5" t="s">
        <v>1009</v>
      </c>
    </row>
    <row r="446" spans="1:9">
      <c r="A446" s="1" t="s">
        <v>492</v>
      </c>
      <c r="B446" s="17">
        <f t="shared" si="22"/>
        <v>47729395998.770096</v>
      </c>
      <c r="D446" s="8">
        <f t="shared" si="23"/>
        <v>2.8673975527427703E-17</v>
      </c>
      <c r="F446" s="2">
        <f t="shared" si="21"/>
        <v>1.3685915328076395E-6</v>
      </c>
      <c r="H446" s="2">
        <f>SUM(F$4:F446)</f>
        <v>483.92703605363283</v>
      </c>
      <c r="I446" s="5" t="s">
        <v>1010</v>
      </c>
    </row>
    <row r="447" spans="1:9">
      <c r="A447" s="1" t="s">
        <v>493</v>
      </c>
      <c r="B447" s="17">
        <f t="shared" si="22"/>
        <v>50115865798.708603</v>
      </c>
      <c r="D447" s="8">
        <f t="shared" si="23"/>
        <v>2.6306399566447433E-17</v>
      </c>
      <c r="F447" s="2">
        <f t="shared" si="21"/>
        <v>1.3183679903192858E-6</v>
      </c>
      <c r="H447" s="2">
        <f>SUM(F$4:F447)</f>
        <v>483.92703737200083</v>
      </c>
      <c r="I447" s="5" t="s">
        <v>1011</v>
      </c>
    </row>
    <row r="448" spans="1:9">
      <c r="A448" s="1" t="s">
        <v>494</v>
      </c>
      <c r="B448" s="17">
        <f t="shared" si="22"/>
        <v>52621659088.644035</v>
      </c>
      <c r="D448" s="8">
        <f t="shared" si="23"/>
        <v>2.4134311528850855E-17</v>
      </c>
      <c r="F448" s="2">
        <f t="shared" si="21"/>
        <v>1.2699875136103212E-6</v>
      </c>
      <c r="H448" s="2">
        <f>SUM(F$4:F448)</f>
        <v>483.92703864198836</v>
      </c>
      <c r="I448" s="5" t="s">
        <v>1012</v>
      </c>
    </row>
    <row r="449" spans="1:9">
      <c r="A449" s="1" t="s">
        <v>495</v>
      </c>
      <c r="B449" s="17">
        <f t="shared" si="22"/>
        <v>55252742043.076241</v>
      </c>
      <c r="D449" s="8">
        <f t="shared" si="23"/>
        <v>2.2141570209954913E-17</v>
      </c>
      <c r="F449" s="2">
        <f t="shared" si="21"/>
        <v>1.2233824672393002E-6</v>
      </c>
      <c r="H449" s="2">
        <f>SUM(F$4:F449)</f>
        <v>483.92703986537083</v>
      </c>
      <c r="I449" s="5" t="s">
        <v>1013</v>
      </c>
    </row>
    <row r="450" spans="1:9">
      <c r="A450" s="1" t="s">
        <v>496</v>
      </c>
      <c r="B450" s="17">
        <f t="shared" si="22"/>
        <v>58015379145.230057</v>
      </c>
      <c r="D450" s="8">
        <f t="shared" si="23"/>
        <v>2.031336716509625E-17</v>
      </c>
      <c r="F450" s="2">
        <f t="shared" si="21"/>
        <v>1.1784876977993259E-6</v>
      </c>
      <c r="H450" s="2">
        <f>SUM(F$4:F450)</f>
        <v>483.92704104385854</v>
      </c>
      <c r="I450" s="5" t="s">
        <v>1014</v>
      </c>
    </row>
    <row r="451" spans="1:9">
      <c r="A451" s="1" t="s">
        <v>497</v>
      </c>
      <c r="B451" s="17">
        <f t="shared" si="22"/>
        <v>60916148102.491562</v>
      </c>
      <c r="D451" s="8">
        <f t="shared" si="23"/>
        <v>1.8636116665225916E-17</v>
      </c>
      <c r="F451" s="2">
        <f t="shared" si="21"/>
        <v>1.135240442834213E-6</v>
      </c>
      <c r="H451" s="2">
        <f>SUM(F$4:F451)</f>
        <v>483.92704217909898</v>
      </c>
      <c r="I451" s="5" t="s">
        <v>1015</v>
      </c>
    </row>
    <row r="452" spans="1:9">
      <c r="A452" s="1" t="s">
        <v>498</v>
      </c>
      <c r="B452" s="17">
        <f t="shared" si="22"/>
        <v>63961955507.616142</v>
      </c>
      <c r="D452" s="8">
        <f t="shared" si="23"/>
        <v>1.7097354738739371E-17</v>
      </c>
      <c r="F452" s="2">
        <f t="shared" si="21"/>
        <v>1.0935802430971776E-6</v>
      </c>
      <c r="H452" s="2">
        <f>SUM(F$4:F452)</f>
        <v>483.92704327267921</v>
      </c>
      <c r="I452" s="5" t="s">
        <v>1016</v>
      </c>
    </row>
    <row r="453" spans="1:9">
      <c r="A453" s="1" t="s">
        <v>499</v>
      </c>
      <c r="B453" s="17">
        <f t="shared" si="22"/>
        <v>67160053282.996956</v>
      </c>
      <c r="D453" s="8">
        <f t="shared" si="23"/>
        <v>1.5685646549302175E-17</v>
      </c>
      <c r="F453" s="2">
        <f t="shared" si="21"/>
        <v>1.0534488580293913E-6</v>
      </c>
      <c r="H453" s="2">
        <f>SUM(F$4:F453)</f>
        <v>483.92704432612805</v>
      </c>
      <c r="I453" s="5" t="s">
        <v>1017</v>
      </c>
    </row>
    <row r="454" spans="1:9">
      <c r="A454" s="1" t="s">
        <v>500</v>
      </c>
      <c r="B454" s="17">
        <f t="shared" si="22"/>
        <v>70518055947.146805</v>
      </c>
      <c r="D454" s="8">
        <f t="shared" si="23"/>
        <v>1.439050142137814E-17</v>
      </c>
      <c r="F454" s="2">
        <f t="shared" si="21"/>
        <v>1.0147901843402393E-6</v>
      </c>
      <c r="H454" s="2">
        <f>SUM(F$4:F454)</f>
        <v>483.92704534091826</v>
      </c>
      <c r="I454" s="5" t="s">
        <v>1018</v>
      </c>
    </row>
    <row r="455" spans="1:9">
      <c r="A455" s="1" t="s">
        <v>501</v>
      </c>
      <c r="B455" s="17">
        <f t="shared" si="22"/>
        <v>74043958744.50415</v>
      </c>
      <c r="D455" s="8">
        <f t="shared" si="23"/>
        <v>1.3202294881998293E-17</v>
      </c>
      <c r="F455" s="2">
        <f t="shared" si="21"/>
        <v>9.7755017757545997E-7</v>
      </c>
      <c r="H455" s="2">
        <f>SUM(F$4:F455)</f>
        <v>483.92704631846846</v>
      </c>
      <c r="I455" s="5" t="s">
        <v>1019</v>
      </c>
    </row>
    <row r="456" spans="1:9">
      <c r="A456" s="1" t="s">
        <v>502</v>
      </c>
      <c r="B456" s="17">
        <f t="shared" si="22"/>
        <v>77746156681.729355</v>
      </c>
      <c r="D456" s="8">
        <f t="shared" si="23"/>
        <v>1.2112197139447974E-17</v>
      </c>
      <c r="F456" s="2">
        <f t="shared" si="21"/>
        <v>9.4167677656351625E-7</v>
      </c>
      <c r="H456" s="2">
        <f>SUM(F$4:F456)</f>
        <v>483.92704726014523</v>
      </c>
      <c r="I456" s="5" t="s">
        <v>1020</v>
      </c>
    </row>
    <row r="457" spans="1:9">
      <c r="A457" s="1" t="s">
        <v>503</v>
      </c>
      <c r="B457" s="17">
        <f t="shared" si="22"/>
        <v>81633464515.815826</v>
      </c>
      <c r="D457" s="8">
        <f t="shared" si="23"/>
        <v>1.1112107467383461E-17</v>
      </c>
      <c r="F457" s="2">
        <f t="shared" si="21"/>
        <v>9.0711983063457983E-7</v>
      </c>
      <c r="H457" s="2">
        <f>SUM(F$4:F457)</f>
        <v>483.92704816726507</v>
      </c>
      <c r="I457" s="5" t="s">
        <v>1021</v>
      </c>
    </row>
    <row r="458" spans="1:9">
      <c r="A458" s="1" t="s">
        <v>504</v>
      </c>
      <c r="B458" s="17">
        <f t="shared" si="22"/>
        <v>85715137741.606628</v>
      </c>
      <c r="D458" s="8">
        <f t="shared" si="23"/>
        <v>1.0194594006773817E-17</v>
      </c>
      <c r="F458" s="2">
        <f t="shared" si="21"/>
        <v>8.7383102951037516E-7</v>
      </c>
      <c r="H458" s="2">
        <f>SUM(F$4:F458)</f>
        <v>483.9270490410961</v>
      </c>
      <c r="I458" s="5" t="s">
        <v>1022</v>
      </c>
    </row>
    <row r="459" spans="1:9">
      <c r="A459" s="1" t="s">
        <v>505</v>
      </c>
      <c r="B459" s="17">
        <f t="shared" si="22"/>
        <v>90000894628.686966</v>
      </c>
      <c r="D459" s="8">
        <f t="shared" si="23"/>
        <v>9.3528385383246028E-18</v>
      </c>
      <c r="F459" s="2">
        <f t="shared" si="21"/>
        <v>8.4176383576687518E-7</v>
      </c>
      <c r="H459" s="2">
        <f>SUM(F$4:F459)</f>
        <v>483.92704988285993</v>
      </c>
      <c r="I459" s="5" t="s">
        <v>1023</v>
      </c>
    </row>
    <row r="460" spans="1:9">
      <c r="A460" s="1" t="s">
        <v>506</v>
      </c>
      <c r="B460" s="17">
        <f t="shared" si="22"/>
        <v>94500939360.121323</v>
      </c>
      <c r="D460" s="8">
        <f t="shared" si="23"/>
        <v>8.5805858149766986E-18</v>
      </c>
      <c r="F460" s="2">
        <f t="shared" si="21"/>
        <v>8.1087341977543015E-7</v>
      </c>
      <c r="H460" s="2">
        <f>SUM(F$4:F460)</f>
        <v>483.92705069373335</v>
      </c>
      <c r="I460" s="5" t="s">
        <v>1024</v>
      </c>
    </row>
    <row r="461" spans="1:9">
      <c r="A461" s="1" t="s">
        <v>507</v>
      </c>
      <c r="B461" s="17">
        <f t="shared" si="22"/>
        <v>99225986328.127396</v>
      </c>
      <c r="D461" s="8">
        <f t="shared" si="23"/>
        <v>7.8720970779602727E-18</v>
      </c>
      <c r="F461" s="2">
        <f t="shared" si="21"/>
        <v>7.8111659703137769E-7</v>
      </c>
      <c r="H461" s="2">
        <f>SUM(F$4:F461)</f>
        <v>483.92705147484992</v>
      </c>
      <c r="I461" s="5" t="s">
        <v>1025</v>
      </c>
    </row>
    <row r="462" spans="1:9">
      <c r="A462" s="1" t="s">
        <v>508</v>
      </c>
      <c r="B462" s="17">
        <f t="shared" si="22"/>
        <v>104187285644.53377</v>
      </c>
      <c r="D462" s="8">
        <f t="shared" si="23"/>
        <v>7.2221074109727263E-18</v>
      </c>
      <c r="F462" s="2">
        <f t="shared" si="21"/>
        <v>7.5245176778251968E-7</v>
      </c>
      <c r="H462" s="2">
        <f>SUM(F$4:F462)</f>
        <v>483.92705222730166</v>
      </c>
      <c r="I462" s="5" t="s">
        <v>1026</v>
      </c>
    </row>
    <row r="463" spans="1:9">
      <c r="A463" s="1" t="s">
        <v>509</v>
      </c>
      <c r="B463" s="17">
        <f t="shared" si="22"/>
        <v>109396649926.76047</v>
      </c>
      <c r="D463" s="8">
        <f t="shared" si="23"/>
        <v>6.6257866155713084E-18</v>
      </c>
      <c r="F463" s="2">
        <f t="shared" si="21"/>
        <v>7.2483885887306943E-7</v>
      </c>
      <c r="H463" s="2">
        <f>SUM(F$4:F463)</f>
        <v>483.92705295214051</v>
      </c>
      <c r="I463" s="5" t="s">
        <v>1027</v>
      </c>
    </row>
    <row r="464" spans="1:9">
      <c r="A464" s="1" t="s">
        <v>510</v>
      </c>
      <c r="B464" s="17">
        <f t="shared" si="22"/>
        <v>114866482423.0985</v>
      </c>
      <c r="D464" s="8">
        <f t="shared" si="23"/>
        <v>6.0787033170378968E-18</v>
      </c>
      <c r="F464" s="2">
        <f t="shared" ref="F464:F504" si="24">B464*D464</f>
        <v>6.9823926772176405E-7</v>
      </c>
      <c r="H464" s="2">
        <f>SUM(F$4:F464)</f>
        <v>483.92705365037978</v>
      </c>
      <c r="I464" s="5" t="s">
        <v>1028</v>
      </c>
    </row>
    <row r="465" spans="1:9">
      <c r="A465" s="1" t="s">
        <v>511</v>
      </c>
      <c r="B465" s="17">
        <f t="shared" ref="B465:B504" si="25">B464*(1+5%)</f>
        <v>120609806544.25342</v>
      </c>
      <c r="D465" s="8">
        <f t="shared" ref="D465:D504" si="26">D464/(1+9%)</f>
        <v>5.5767920339797216E-18</v>
      </c>
      <c r="F465" s="2">
        <f t="shared" si="24"/>
        <v>6.7261580835582773E-7</v>
      </c>
      <c r="H465" s="2">
        <f>SUM(F$4:F465)</f>
        <v>483.92705432299556</v>
      </c>
      <c r="I465" s="5" t="s">
        <v>1029</v>
      </c>
    </row>
    <row r="466" spans="1:9">
      <c r="A466" s="1" t="s">
        <v>512</v>
      </c>
      <c r="B466" s="17">
        <f t="shared" si="25"/>
        <v>126640296871.46609</v>
      </c>
      <c r="D466" s="8">
        <f t="shared" si="26"/>
        <v>5.1163229669538723E-18</v>
      </c>
      <c r="F466" s="2">
        <f t="shared" si="24"/>
        <v>6.4793265942533862E-7</v>
      </c>
      <c r="H466" s="2">
        <f>SUM(F$4:F466)</f>
        <v>483.92705497092822</v>
      </c>
      <c r="I466" s="5" t="s">
        <v>1030</v>
      </c>
    </row>
    <row r="467" spans="1:9">
      <c r="A467" s="1" t="s">
        <v>513</v>
      </c>
      <c r="B467" s="17">
        <f t="shared" si="25"/>
        <v>132972311715.0394</v>
      </c>
      <c r="D467" s="8">
        <f t="shared" si="26"/>
        <v>4.6938742816090571E-18</v>
      </c>
      <c r="F467" s="2">
        <f t="shared" si="24"/>
        <v>6.2415531412532614E-7</v>
      </c>
      <c r="H467" s="2">
        <f>SUM(F$4:F467)</f>
        <v>483.92705559508352</v>
      </c>
      <c r="I467" s="5" t="s">
        <v>1031</v>
      </c>
    </row>
    <row r="468" spans="1:9">
      <c r="A468" s="1" t="s">
        <v>514</v>
      </c>
      <c r="B468" s="17">
        <f t="shared" si="25"/>
        <v>139620927300.79138</v>
      </c>
      <c r="D468" s="8">
        <f t="shared" si="26"/>
        <v>4.3063066803752815E-18</v>
      </c>
      <c r="F468" s="2">
        <f t="shared" si="24"/>
        <v>6.0125053195558941E-7</v>
      </c>
      <c r="H468" s="2">
        <f>SUM(F$4:F468)</f>
        <v>483.92705619633404</v>
      </c>
      <c r="I468" s="5" t="s">
        <v>1032</v>
      </c>
    </row>
    <row r="469" spans="1:9">
      <c r="A469" s="1" t="s">
        <v>515</v>
      </c>
      <c r="B469" s="17">
        <f t="shared" si="25"/>
        <v>146601973665.83096</v>
      </c>
      <c r="D469" s="8">
        <f t="shared" si="26"/>
        <v>3.9507400737387899E-18</v>
      </c>
      <c r="F469" s="2">
        <f t="shared" si="24"/>
        <v>5.7918629225079717E-7</v>
      </c>
      <c r="H469" s="2">
        <f>SUM(F$4:F469)</f>
        <v>483.92705677552033</v>
      </c>
      <c r="I469" s="5" t="s">
        <v>1033</v>
      </c>
    </row>
    <row r="470" spans="1:9">
      <c r="A470" s="1" t="s">
        <v>516</v>
      </c>
      <c r="B470" s="17">
        <f t="shared" si="25"/>
        <v>153932072349.12253</v>
      </c>
      <c r="D470" s="8">
        <f t="shared" si="26"/>
        <v>3.6245321777420085E-18</v>
      </c>
      <c r="F470" s="2">
        <f t="shared" si="24"/>
        <v>5.5793174941590552E-7</v>
      </c>
      <c r="H470" s="2">
        <f>SUM(F$4:F470)</f>
        <v>483.92705733345207</v>
      </c>
      <c r="I470" s="5" t="s">
        <v>1034</v>
      </c>
    </row>
    <row r="471" spans="1:9">
      <c r="A471" s="1" t="s">
        <v>517</v>
      </c>
      <c r="B471" s="17">
        <f t="shared" si="25"/>
        <v>161628675966.57867</v>
      </c>
      <c r="D471" s="8">
        <f t="shared" si="26"/>
        <v>3.3252588786623929E-18</v>
      </c>
      <c r="F471" s="2">
        <f t="shared" si="24"/>
        <v>5.374571898043127E-7</v>
      </c>
      <c r="H471" s="2">
        <f>SUM(F$4:F471)</f>
        <v>483.92705787090927</v>
      </c>
      <c r="I471" s="5" t="s">
        <v>1035</v>
      </c>
    </row>
    <row r="472" spans="1:9">
      <c r="A472" s="1" t="s">
        <v>518</v>
      </c>
      <c r="B472" s="17">
        <f t="shared" si="25"/>
        <v>169710109764.90762</v>
      </c>
      <c r="D472" s="8">
        <f t="shared" si="26"/>
        <v>3.0506962189563237E-18</v>
      </c>
      <c r="F472" s="2">
        <f t="shared" si="24"/>
        <v>5.1773399017846633E-7</v>
      </c>
      <c r="H472" s="2">
        <f>SUM(F$4:F472)</f>
        <v>483.92705838864327</v>
      </c>
      <c r="I472" s="5" t="s">
        <v>1036</v>
      </c>
    </row>
    <row r="473" spans="1:9">
      <c r="A473" s="1" t="s">
        <v>519</v>
      </c>
      <c r="B473" s="17">
        <f t="shared" si="25"/>
        <v>178195615253.15302</v>
      </c>
      <c r="D473" s="8">
        <f t="shared" si="26"/>
        <v>2.7988038706021316E-18</v>
      </c>
      <c r="F473" s="2">
        <f t="shared" si="24"/>
        <v>4.9873457769485294E-7</v>
      </c>
      <c r="H473" s="2">
        <f>SUM(F$4:F473)</f>
        <v>483.92705888737783</v>
      </c>
      <c r="I473" s="5" t="s">
        <v>1037</v>
      </c>
    </row>
    <row r="474" spans="1:9">
      <c r="A474" s="1" t="s">
        <v>520</v>
      </c>
      <c r="B474" s="17">
        <f t="shared" si="25"/>
        <v>187105396015.81067</v>
      </c>
      <c r="D474" s="8">
        <f t="shared" si="26"/>
        <v>2.5677099730294785E-18</v>
      </c>
      <c r="F474" s="2">
        <f t="shared" si="24"/>
        <v>4.8043239135742711E-7</v>
      </c>
      <c r="H474" s="2">
        <f>SUM(F$4:F474)</f>
        <v>483.92705936781022</v>
      </c>
      <c r="I474" s="5" t="s">
        <v>1038</v>
      </c>
    </row>
    <row r="475" spans="1:9">
      <c r="A475" s="1" t="s">
        <v>521</v>
      </c>
      <c r="B475" s="17">
        <f t="shared" si="25"/>
        <v>196460665816.6012</v>
      </c>
      <c r="D475" s="8">
        <f t="shared" si="26"/>
        <v>2.3556972229628243E-18</v>
      </c>
      <c r="F475" s="2">
        <f t="shared" si="24"/>
        <v>4.6280184488559492E-7</v>
      </c>
      <c r="H475" s="2">
        <f>SUM(F$4:F475)</f>
        <v>483.92705983061205</v>
      </c>
      <c r="I475" s="5" t="s">
        <v>1039</v>
      </c>
    </row>
    <row r="476" spans="1:9">
      <c r="A476" s="1" t="s">
        <v>522</v>
      </c>
      <c r="B476" s="17">
        <f t="shared" si="25"/>
        <v>206283699107.43127</v>
      </c>
      <c r="D476" s="8">
        <f t="shared" si="26"/>
        <v>2.1611901128099305E-18</v>
      </c>
      <c r="F476" s="2">
        <f t="shared" si="24"/>
        <v>4.4581829094483915E-7</v>
      </c>
      <c r="H476" s="2">
        <f>SUM(F$4:F476)</f>
        <v>483.92706027643032</v>
      </c>
      <c r="I476" s="5" t="s">
        <v>1040</v>
      </c>
    </row>
    <row r="477" spans="1:9">
      <c r="A477" s="1" t="s">
        <v>523</v>
      </c>
      <c r="B477" s="17">
        <f t="shared" si="25"/>
        <v>216597884062.80286</v>
      </c>
      <c r="D477" s="8">
        <f t="shared" si="26"/>
        <v>1.982743222761404E-18</v>
      </c>
      <c r="F477" s="2">
        <f t="shared" si="24"/>
        <v>4.294579866899827E-7</v>
      </c>
      <c r="H477" s="2">
        <f>SUM(F$4:F477)</f>
        <v>483.92706070588832</v>
      </c>
      <c r="I477" s="5" t="s">
        <v>1041</v>
      </c>
    </row>
    <row r="478" spans="1:9">
      <c r="A478" s="1" t="s">
        <v>524</v>
      </c>
      <c r="B478" s="17">
        <f t="shared" si="25"/>
        <v>227427778265.94302</v>
      </c>
      <c r="D478" s="8">
        <f t="shared" si="26"/>
        <v>1.8190304795976182E-18</v>
      </c>
      <c r="F478" s="2">
        <f t="shared" si="24"/>
        <v>4.1369806057291912E-7</v>
      </c>
      <c r="H478" s="2">
        <f>SUM(F$4:F478)</f>
        <v>483.92706111958637</v>
      </c>
      <c r="I478" s="5" t="s">
        <v>1042</v>
      </c>
    </row>
    <row r="479" spans="1:9">
      <c r="A479" s="1" t="s">
        <v>525</v>
      </c>
      <c r="B479" s="17">
        <f t="shared" si="25"/>
        <v>238799167179.24017</v>
      </c>
      <c r="D479" s="8">
        <f t="shared" si="26"/>
        <v>1.668835302383136E-18</v>
      </c>
      <c r="F479" s="2">
        <f t="shared" si="24"/>
        <v>3.9851648036840829E-7</v>
      </c>
      <c r="H479" s="2">
        <f>SUM(F$4:F479)</f>
        <v>483.92706151810285</v>
      </c>
      <c r="I479" s="5" t="s">
        <v>1043</v>
      </c>
    </row>
    <row r="480" spans="1:9">
      <c r="A480" s="1" t="s">
        <v>526</v>
      </c>
      <c r="B480" s="17">
        <f t="shared" si="25"/>
        <v>250739125538.20218</v>
      </c>
      <c r="D480" s="8">
        <f t="shared" si="26"/>
        <v>1.5310415618193906E-18</v>
      </c>
      <c r="F480" s="2">
        <f t="shared" si="24"/>
        <v>3.8389202237323729E-7</v>
      </c>
      <c r="H480" s="2">
        <f>SUM(F$4:F480)</f>
        <v>483.92706190199488</v>
      </c>
      <c r="I480" s="5" t="s">
        <v>1044</v>
      </c>
    </row>
    <row r="481" spans="1:9">
      <c r="A481" s="1" t="s">
        <v>527</v>
      </c>
      <c r="B481" s="17">
        <f t="shared" si="25"/>
        <v>263276081815.1123</v>
      </c>
      <c r="D481" s="8">
        <f t="shared" si="26"/>
        <v>1.4046252860728352E-18</v>
      </c>
      <c r="F481" s="2">
        <f t="shared" si="24"/>
        <v>3.6980424173568731E-7</v>
      </c>
      <c r="H481" s="2">
        <f>SUM(F$4:F481)</f>
        <v>483.92706227179912</v>
      </c>
      <c r="I481" s="5" t="s">
        <v>1045</v>
      </c>
    </row>
    <row r="482" spans="1:9">
      <c r="A482" s="1" t="s">
        <v>528</v>
      </c>
      <c r="B482" s="17">
        <f t="shared" si="25"/>
        <v>276439885905.86792</v>
      </c>
      <c r="D482" s="8">
        <f t="shared" si="26"/>
        <v>1.288647051442968E-18</v>
      </c>
      <c r="F482" s="2">
        <f t="shared" si="24"/>
        <v>3.562334438738272E-7</v>
      </c>
      <c r="H482" s="2">
        <f>SUM(F$4:F482)</f>
        <v>483.92706262803256</v>
      </c>
      <c r="I482" s="5" t="s">
        <v>1046</v>
      </c>
    </row>
    <row r="483" spans="1:9">
      <c r="A483" s="1" t="s">
        <v>529</v>
      </c>
      <c r="B483" s="17">
        <f t="shared" si="25"/>
        <v>290261880201.16132</v>
      </c>
      <c r="D483" s="8">
        <f t="shared" si="26"/>
        <v>1.1822450013238237E-18</v>
      </c>
      <c r="F483" s="2">
        <f t="shared" si="24"/>
        <v>3.4316065694267753E-7</v>
      </c>
      <c r="H483" s="2">
        <f>SUM(F$4:F483)</f>
        <v>483.92706297119321</v>
      </c>
      <c r="I483" s="5" t="s">
        <v>1047</v>
      </c>
    </row>
    <row r="484" spans="1:9">
      <c r="A484" s="1" t="s">
        <v>530</v>
      </c>
      <c r="B484" s="17">
        <f t="shared" si="25"/>
        <v>304774974211.21942</v>
      </c>
      <c r="D484" s="8">
        <f t="shared" si="26"/>
        <v>1.0846284415814896E-18</v>
      </c>
      <c r="F484" s="2">
        <f t="shared" si="24"/>
        <v>3.3056760531175357E-7</v>
      </c>
      <c r="H484" s="2">
        <f>SUM(F$4:F484)</f>
        <v>483.92706330176082</v>
      </c>
      <c r="I484" s="5" t="s">
        <v>1048</v>
      </c>
    </row>
    <row r="485" spans="1:9">
      <c r="A485" s="1" t="s">
        <v>531</v>
      </c>
      <c r="B485" s="17">
        <f t="shared" si="25"/>
        <v>320013722921.7804</v>
      </c>
      <c r="D485" s="8">
        <f t="shared" si="26"/>
        <v>9.9507196475366009E-19</v>
      </c>
      <c r="F485" s="2">
        <f t="shared" si="24"/>
        <v>3.1843668401590942E-7</v>
      </c>
      <c r="H485" s="2">
        <f>SUM(F$4:F485)</f>
        <v>483.92706362019749</v>
      </c>
      <c r="I485" s="5" t="s">
        <v>1049</v>
      </c>
    </row>
    <row r="486" spans="1:9">
      <c r="A486" s="1" t="s">
        <v>532</v>
      </c>
      <c r="B486" s="17">
        <f t="shared" si="25"/>
        <v>336014409067.86945</v>
      </c>
      <c r="D486" s="8">
        <f t="shared" si="26"/>
        <v>9.1291005940702755E-19</v>
      </c>
      <c r="F486" s="2">
        <f t="shared" si="24"/>
        <v>3.0675093414376597E-7</v>
      </c>
      <c r="H486" s="2">
        <f>SUM(F$4:F486)</f>
        <v>483.92706392694845</v>
      </c>
      <c r="I486" s="5" t="s">
        <v>1050</v>
      </c>
    </row>
    <row r="487" spans="1:9">
      <c r="A487" s="1" t="s">
        <v>533</v>
      </c>
      <c r="B487" s="17">
        <f t="shared" si="25"/>
        <v>352815129521.26294</v>
      </c>
      <c r="D487" s="8">
        <f t="shared" si="26"/>
        <v>8.3753216459360318E-19</v>
      </c>
      <c r="F487" s="2">
        <f t="shared" si="24"/>
        <v>2.9549401912931581E-7</v>
      </c>
      <c r="H487" s="2">
        <f>SUM(F$4:F487)</f>
        <v>483.92706422244248</v>
      </c>
      <c r="I487" s="5" t="s">
        <v>1051</v>
      </c>
    </row>
    <row r="488" spans="1:9">
      <c r="A488" s="1" t="s">
        <v>534</v>
      </c>
      <c r="B488" s="17">
        <f t="shared" si="25"/>
        <v>370455885997.32611</v>
      </c>
      <c r="D488" s="8">
        <f t="shared" si="26"/>
        <v>7.6837813265468173E-19</v>
      </c>
      <c r="F488" s="2">
        <f t="shared" si="24"/>
        <v>2.8465020191356107E-7</v>
      </c>
      <c r="H488" s="2">
        <f>SUM(F$4:F488)</f>
        <v>483.92706450709267</v>
      </c>
      <c r="I488" s="5" t="s">
        <v>1052</v>
      </c>
    </row>
    <row r="489" spans="1:9">
      <c r="A489" s="1" t="s">
        <v>535</v>
      </c>
      <c r="B489" s="17">
        <f t="shared" si="25"/>
        <v>388978680297.19244</v>
      </c>
      <c r="D489" s="8">
        <f t="shared" si="26"/>
        <v>7.0493406665567123E-19</v>
      </c>
      <c r="F489" s="2">
        <f t="shared" si="24"/>
        <v>2.7420432294425609E-7</v>
      </c>
      <c r="H489" s="2">
        <f>SUM(F$4:F489)</f>
        <v>483.92706478129696</v>
      </c>
      <c r="I489" s="5" t="s">
        <v>1053</v>
      </c>
    </row>
    <row r="490" spans="1:9">
      <c r="A490" s="1" t="s">
        <v>536</v>
      </c>
      <c r="B490" s="17">
        <f t="shared" si="25"/>
        <v>408427614312.05206</v>
      </c>
      <c r="D490" s="8">
        <f t="shared" si="26"/>
        <v>6.4672850151896443E-19</v>
      </c>
      <c r="F490" s="2">
        <f t="shared" si="24"/>
        <v>2.6414177898299897E-7</v>
      </c>
      <c r="H490" s="2">
        <f>SUM(F$4:F490)</f>
        <v>483.92706504543872</v>
      </c>
      <c r="I490" s="5" t="s">
        <v>1054</v>
      </c>
    </row>
    <row r="491" spans="1:9">
      <c r="A491" s="1" t="s">
        <v>537</v>
      </c>
      <c r="B491" s="17">
        <f t="shared" si="25"/>
        <v>428848995027.65466</v>
      </c>
      <c r="D491" s="8">
        <f t="shared" si="26"/>
        <v>5.9332890047611407E-19</v>
      </c>
      <c r="F491" s="2">
        <f t="shared" si="24"/>
        <v>2.5444850269004484E-7</v>
      </c>
      <c r="H491" s="2">
        <f>SUM(F$4:F491)</f>
        <v>483.9270652998872</v>
      </c>
      <c r="I491" s="5" t="s">
        <v>1055</v>
      </c>
    </row>
    <row r="492" spans="1:9">
      <c r="A492" s="1" t="s">
        <v>538</v>
      </c>
      <c r="B492" s="17">
        <f t="shared" si="25"/>
        <v>450291444779.03741</v>
      </c>
      <c r="D492" s="8">
        <f t="shared" si="26"/>
        <v>5.4433844080377429E-19</v>
      </c>
      <c r="F492" s="2">
        <f t="shared" si="24"/>
        <v>2.4511094295830007E-7</v>
      </c>
      <c r="H492" s="2">
        <f>SUM(F$4:F492)</f>
        <v>483.92706554499813</v>
      </c>
      <c r="I492" s="5" t="s">
        <v>1056</v>
      </c>
    </row>
    <row r="493" spans="1:9">
      <c r="A493" s="1" t="s">
        <v>539</v>
      </c>
      <c r="B493" s="17">
        <f t="shared" si="25"/>
        <v>472806017017.98932</v>
      </c>
      <c r="D493" s="8">
        <f t="shared" si="26"/>
        <v>4.9939306495759103E-19</v>
      </c>
      <c r="F493" s="2">
        <f t="shared" si="24"/>
        <v>2.3611604596900463E-7</v>
      </c>
      <c r="H493" s="2">
        <f>SUM(F$4:F493)</f>
        <v>483.92706578111415</v>
      </c>
      <c r="I493" s="5" t="s">
        <v>1057</v>
      </c>
    </row>
    <row r="494" spans="1:9">
      <c r="A494" s="1" t="s">
        <v>540</v>
      </c>
      <c r="B494" s="17">
        <f t="shared" si="25"/>
        <v>496446317868.88879</v>
      </c>
      <c r="D494" s="8">
        <f t="shared" si="26"/>
        <v>4.5815877519045041E-19</v>
      </c>
      <c r="F494" s="2">
        <f t="shared" si="24"/>
        <v>2.2745123694261911E-7</v>
      </c>
      <c r="H494" s="2">
        <f>SUM(F$4:F494)</f>
        <v>483.92706600856536</v>
      </c>
      <c r="I494" s="5" t="s">
        <v>1058</v>
      </c>
    </row>
    <row r="495" spans="1:9">
      <c r="A495" s="1" t="s">
        <v>541</v>
      </c>
      <c r="B495" s="17">
        <f t="shared" si="25"/>
        <v>521268633762.33325</v>
      </c>
      <c r="D495" s="8">
        <f t="shared" si="26"/>
        <v>4.2032915155087192E-19</v>
      </c>
      <c r="F495" s="2">
        <f t="shared" si="24"/>
        <v>2.1910440255940372E-7</v>
      </c>
      <c r="H495" s="2">
        <f>SUM(F$4:F495)</f>
        <v>483.92706622766974</v>
      </c>
      <c r="I495" s="5" t="s">
        <v>1059</v>
      </c>
    </row>
    <row r="496" spans="1:9">
      <c r="A496" s="1" t="s">
        <v>542</v>
      </c>
      <c r="B496" s="17">
        <f t="shared" si="25"/>
        <v>547332065450.44995</v>
      </c>
      <c r="D496" s="8">
        <f t="shared" si="26"/>
        <v>3.8562307481731366E-19</v>
      </c>
      <c r="F496" s="2">
        <f t="shared" si="24"/>
        <v>2.1106387402511369E-7</v>
      </c>
      <c r="H496" s="2">
        <f>SUM(F$4:F496)</f>
        <v>483.92706643873362</v>
      </c>
      <c r="I496" s="5" t="s">
        <v>1060</v>
      </c>
    </row>
    <row r="497" spans="1:9">
      <c r="A497" s="1" t="s">
        <v>543</v>
      </c>
      <c r="B497" s="17">
        <f t="shared" si="25"/>
        <v>574698668722.97241</v>
      </c>
      <c r="D497" s="8">
        <f t="shared" si="26"/>
        <v>3.5378263744707671E-19</v>
      </c>
      <c r="F497" s="2">
        <f t="shared" si="24"/>
        <v>2.03318410758137E-7</v>
      </c>
      <c r="H497" s="2">
        <f>SUM(F$4:F497)</f>
        <v>483.92706664205201</v>
      </c>
      <c r="I497" s="5" t="s">
        <v>1061</v>
      </c>
    </row>
    <row r="498" spans="1:9">
      <c r="A498" s="1" t="s">
        <v>544</v>
      </c>
      <c r="B498" s="17">
        <f t="shared" si="25"/>
        <v>603433602159.12109</v>
      </c>
      <c r="D498" s="8">
        <f t="shared" si="26"/>
        <v>3.2457122701566668E-19</v>
      </c>
      <c r="F498" s="2">
        <f t="shared" si="24"/>
        <v>1.9585718467526958E-7</v>
      </c>
      <c r="H498" s="2">
        <f>SUM(F$4:F498)</f>
        <v>483.92706683790919</v>
      </c>
      <c r="I498" s="5" t="s">
        <v>1062</v>
      </c>
    </row>
    <row r="499" spans="1:9">
      <c r="A499" s="1" t="s">
        <v>545</v>
      </c>
      <c r="B499" s="17">
        <f t="shared" si="25"/>
        <v>633605282267.07715</v>
      </c>
      <c r="D499" s="8">
        <f t="shared" si="26"/>
        <v>2.9777176790428133E-19</v>
      </c>
      <c r="F499" s="2">
        <f t="shared" si="24"/>
        <v>1.8866976505415876E-7</v>
      </c>
      <c r="H499" s="2">
        <f>SUM(F$4:F499)</f>
        <v>483.92706702657898</v>
      </c>
      <c r="I499" s="5" t="s">
        <v>1063</v>
      </c>
    </row>
    <row r="500" spans="1:9">
      <c r="A500" s="1" t="s">
        <v>546</v>
      </c>
      <c r="B500" s="17">
        <f t="shared" si="25"/>
        <v>665285546380.43103</v>
      </c>
      <c r="D500" s="8">
        <f t="shared" si="26"/>
        <v>2.7318510816906543E-19</v>
      </c>
      <c r="F500" s="2">
        <f t="shared" si="24"/>
        <v>1.8174610395125383E-7</v>
      </c>
      <c r="H500" s="2">
        <f>SUM(F$4:F500)</f>
        <v>483.92706720832507</v>
      </c>
      <c r="I500" s="5" t="s">
        <v>1064</v>
      </c>
    </row>
    <row r="501" spans="1:9">
      <c r="A501" s="1" t="s">
        <v>547</v>
      </c>
      <c r="B501" s="17">
        <f t="shared" si="25"/>
        <v>698549823699.45264</v>
      </c>
      <c r="D501" s="8">
        <f t="shared" si="26"/>
        <v>2.5062853960464714E-19</v>
      </c>
      <c r="F501" s="2">
        <f t="shared" si="24"/>
        <v>1.7507652215487755E-7</v>
      </c>
      <c r="H501" s="2">
        <f>SUM(F$4:F501)</f>
        <v>483.92706738340161</v>
      </c>
      <c r="I501" s="5" t="s">
        <v>1065</v>
      </c>
    </row>
    <row r="502" spans="1:9">
      <c r="A502" s="1" t="s">
        <v>548</v>
      </c>
      <c r="B502" s="17">
        <f t="shared" si="25"/>
        <v>733477314884.42529</v>
      </c>
      <c r="D502" s="8">
        <f t="shared" si="26"/>
        <v>2.2993444000426342E-19</v>
      </c>
      <c r="F502" s="2">
        <f t="shared" si="24"/>
        <v>1.6865169565378111E-7</v>
      </c>
      <c r="H502" s="2">
        <f>SUM(F$4:F502)</f>
        <v>483.9270675520533</v>
      </c>
      <c r="I502" s="5" t="s">
        <v>1066</v>
      </c>
    </row>
    <row r="503" spans="1:9">
      <c r="A503" s="1" t="s">
        <v>549</v>
      </c>
      <c r="B503" s="17">
        <f t="shared" si="25"/>
        <v>770151180628.64661</v>
      </c>
      <c r="D503" s="8">
        <f t="shared" si="26"/>
        <v>2.1094902752684716E-19</v>
      </c>
      <c r="F503" s="2">
        <f t="shared" si="24"/>
        <v>1.6246264260226622E-7</v>
      </c>
      <c r="H503" s="2">
        <f>SUM(F$4:F503)</f>
        <v>483.92706771451594</v>
      </c>
      <c r="I503" s="5" t="s">
        <v>1067</v>
      </c>
    </row>
    <row r="504" spans="1:9">
      <c r="A504" s="1" t="s">
        <v>550</v>
      </c>
      <c r="B504" s="17">
        <f t="shared" si="25"/>
        <v>808658739660.07898</v>
      </c>
      <c r="D504" s="8">
        <f t="shared" si="26"/>
        <v>1.9353121791453866E-19</v>
      </c>
      <c r="F504" s="2">
        <f t="shared" si="24"/>
        <v>1.5650071076365093E-7</v>
      </c>
      <c r="H504" s="2">
        <f>SUM(F$4:F504)</f>
        <v>483.92706787101667</v>
      </c>
      <c r="I504" s="5" t="s">
        <v>1068</v>
      </c>
    </row>
  </sheetData>
  <mergeCells count="1">
    <mergeCell ref="J1:K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29A7-9DA2-4E69-B8A4-E97B9768E3C9}">
  <dimension ref="A1:L50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9" sqref="U29"/>
    </sheetView>
  </sheetViews>
  <sheetFormatPr defaultColWidth="7.5" defaultRowHeight="16.5"/>
  <cols>
    <col min="1" max="1" width="7.5" style="1"/>
    <col min="2" max="2" width="13.5" style="2" customWidth="1"/>
    <col min="3" max="3" width="16.5" style="5" customWidth="1"/>
    <col min="4" max="4" width="7.5" style="8"/>
    <col min="5" max="5" width="16.5" style="5" customWidth="1"/>
    <col min="6" max="6" width="6.375" style="2" customWidth="1"/>
    <col min="7" max="7" width="9.75" style="5" bestFit="1" customWidth="1"/>
    <col min="8" max="8" width="10.75" style="2" customWidth="1"/>
    <col min="9" max="9" width="15.5" style="5" bestFit="1" customWidth="1"/>
    <col min="10" max="10" width="8.625" style="1" customWidth="1"/>
    <col min="11" max="11" width="7.375" style="1" customWidth="1"/>
    <col min="12" max="12" width="23.625" style="5" customWidth="1"/>
    <col min="13" max="15" width="8.625" style="1" customWidth="1"/>
    <col min="16" max="16384" width="7.5" style="1"/>
  </cols>
  <sheetData>
    <row r="1" spans="1:12" s="3" customFormat="1" ht="33">
      <c r="B1" s="4" t="s">
        <v>1</v>
      </c>
      <c r="C1" s="6" t="s">
        <v>4</v>
      </c>
      <c r="D1" s="7" t="s">
        <v>2</v>
      </c>
      <c r="E1" s="6" t="s">
        <v>4</v>
      </c>
      <c r="F1" s="4" t="s">
        <v>247</v>
      </c>
      <c r="G1" s="6" t="s">
        <v>4</v>
      </c>
      <c r="H1" s="4" t="s">
        <v>1069</v>
      </c>
      <c r="I1" s="6" t="s">
        <v>4</v>
      </c>
      <c r="J1" s="21" t="s">
        <v>245</v>
      </c>
      <c r="K1" s="21"/>
      <c r="L1" s="6" t="s">
        <v>4</v>
      </c>
    </row>
    <row r="2" spans="1:12">
      <c r="A2" s="1" t="s">
        <v>0</v>
      </c>
      <c r="B2" s="2">
        <v>8.2799999999999994</v>
      </c>
    </row>
    <row r="3" spans="1:12">
      <c r="A3" s="14" t="s">
        <v>34</v>
      </c>
      <c r="B3" s="15" t="s">
        <v>556</v>
      </c>
      <c r="D3" s="16" t="s">
        <v>11</v>
      </c>
      <c r="J3" s="13" t="s">
        <v>246</v>
      </c>
      <c r="K3" s="23">
        <f>SUM(F4:F13)</f>
        <v>67.799573536235002</v>
      </c>
      <c r="L3" s="5" t="s">
        <v>33</v>
      </c>
    </row>
    <row r="4" spans="1:12">
      <c r="A4" s="1" t="s">
        <v>41</v>
      </c>
      <c r="B4" s="2">
        <f>B2*(1+5%)</f>
        <v>8.6939999999999991</v>
      </c>
      <c r="C4" s="5" t="s">
        <v>557</v>
      </c>
      <c r="D4" s="8">
        <f>1/(1+9%)</f>
        <v>0.9174311926605504</v>
      </c>
      <c r="E4" s="5" t="s">
        <v>12</v>
      </c>
      <c r="F4" s="2">
        <f>B4*D4</f>
        <v>7.9761467889908246</v>
      </c>
      <c r="G4" s="5" t="s">
        <v>22</v>
      </c>
      <c r="H4" s="2">
        <f>SUM(F$4:F4)</f>
        <v>7.9761467889908246</v>
      </c>
      <c r="I4" s="5" t="s">
        <v>572</v>
      </c>
      <c r="J4" s="1" t="s">
        <v>248</v>
      </c>
      <c r="K4" s="24">
        <f>SUM(F$15:F34)</f>
        <v>78.748727626658166</v>
      </c>
      <c r="L4" s="5" t="s">
        <v>249</v>
      </c>
    </row>
    <row r="5" spans="1:12">
      <c r="A5" s="1" t="s">
        <v>42</v>
      </c>
      <c r="B5" s="2">
        <f>B4*(1+5%)</f>
        <v>9.1287000000000003</v>
      </c>
      <c r="C5" s="5" t="s">
        <v>558</v>
      </c>
      <c r="D5" s="8">
        <f>D4/(1+9%)</f>
        <v>0.84167999326655996</v>
      </c>
      <c r="E5" s="5" t="s">
        <v>13</v>
      </c>
      <c r="F5" s="2">
        <f t="shared" ref="F5:F13" si="0">B5*D5</f>
        <v>7.6834441545324461</v>
      </c>
      <c r="G5" s="5" t="s">
        <v>23</v>
      </c>
      <c r="H5" s="2">
        <f>SUM(F$4:F5)</f>
        <v>15.65959094352327</v>
      </c>
      <c r="I5" s="5" t="s">
        <v>570</v>
      </c>
      <c r="J5" s="1" t="s">
        <v>250</v>
      </c>
      <c r="K5" s="24">
        <f>SUM(F$15:F104)</f>
        <v>144.38103099915747</v>
      </c>
      <c r="L5" s="5" t="s">
        <v>552</v>
      </c>
    </row>
    <row r="6" spans="1:12">
      <c r="A6" s="1" t="s">
        <v>43</v>
      </c>
      <c r="B6" s="2">
        <f>B5*(1+5%)</f>
        <v>9.5851350000000011</v>
      </c>
      <c r="C6" s="5" t="s">
        <v>559</v>
      </c>
      <c r="D6" s="8">
        <f t="shared" ref="D6:D12" si="1">D5/(1+9%)</f>
        <v>0.77218348006106408</v>
      </c>
      <c r="E6" s="5" t="s">
        <v>14</v>
      </c>
      <c r="F6" s="2">
        <f t="shared" si="0"/>
        <v>7.4014829011551084</v>
      </c>
      <c r="G6" s="5" t="s">
        <v>24</v>
      </c>
      <c r="H6" s="2">
        <f>SUM(F$4:F6)</f>
        <v>23.061073844678379</v>
      </c>
      <c r="I6" s="5" t="s">
        <v>571</v>
      </c>
      <c r="J6" s="20" t="s">
        <v>1070</v>
      </c>
      <c r="K6" s="24"/>
    </row>
    <row r="7" spans="1:12">
      <c r="A7" s="1" t="s">
        <v>44</v>
      </c>
      <c r="B7" s="2">
        <f>B6*(1+5%)</f>
        <v>10.064391750000002</v>
      </c>
      <c r="C7" s="5" t="s">
        <v>560</v>
      </c>
      <c r="D7" s="8">
        <f t="shared" si="1"/>
        <v>0.7084252110651964</v>
      </c>
      <c r="E7" s="5" t="s">
        <v>15</v>
      </c>
      <c r="F7" s="2">
        <f t="shared" si="0"/>
        <v>7.1298688497365728</v>
      </c>
      <c r="G7" s="5" t="s">
        <v>25</v>
      </c>
      <c r="H7" s="2">
        <f>SUM(F$4:F7)</f>
        <v>30.19094269441495</v>
      </c>
      <c r="I7" s="5" t="s">
        <v>573</v>
      </c>
      <c r="J7" s="1" t="s">
        <v>551</v>
      </c>
      <c r="K7" s="24">
        <f>SUM(F$15:F504)</f>
        <v>149.55042480967077</v>
      </c>
      <c r="L7" s="5" t="s">
        <v>553</v>
      </c>
    </row>
    <row r="8" spans="1:12">
      <c r="A8" s="1" t="s">
        <v>45</v>
      </c>
      <c r="B8" s="2">
        <f>B7*(1+5%)</f>
        <v>10.567611337500002</v>
      </c>
      <c r="C8" s="5" t="s">
        <v>561</v>
      </c>
      <c r="D8" s="8">
        <f t="shared" si="1"/>
        <v>0.64993138629834524</v>
      </c>
      <c r="E8" s="5" t="s">
        <v>16</v>
      </c>
      <c r="F8" s="2">
        <f t="shared" si="0"/>
        <v>6.868222286443487</v>
      </c>
      <c r="G8" s="5" t="s">
        <v>26</v>
      </c>
      <c r="H8" s="2">
        <f>SUM(F$4:F8)</f>
        <v>37.059164980858441</v>
      </c>
      <c r="I8" s="5" t="s">
        <v>574</v>
      </c>
      <c r="J8" s="20" t="s">
        <v>554</v>
      </c>
      <c r="K8" s="17"/>
    </row>
    <row r="9" spans="1:12">
      <c r="A9" s="1" t="s">
        <v>46</v>
      </c>
      <c r="B9" s="2">
        <f>B8*(1+5%)</f>
        <v>11.095991904375003</v>
      </c>
      <c r="C9" s="5" t="s">
        <v>562</v>
      </c>
      <c r="D9" s="8">
        <f t="shared" si="1"/>
        <v>0.5962673268792158</v>
      </c>
      <c r="E9" s="5" t="s">
        <v>17</v>
      </c>
      <c r="F9" s="2">
        <f t="shared" si="0"/>
        <v>6.6161774318951023</v>
      </c>
      <c r="G9" s="5" t="s">
        <v>27</v>
      </c>
      <c r="H9" s="2">
        <f>SUM(F$4:F9)</f>
        <v>43.675342412753544</v>
      </c>
      <c r="I9" s="5" t="s">
        <v>575</v>
      </c>
      <c r="J9" s="20" t="s">
        <v>1072</v>
      </c>
      <c r="K9" s="17"/>
    </row>
    <row r="10" spans="1:12">
      <c r="A10" s="1" t="s">
        <v>47</v>
      </c>
      <c r="B10" s="2">
        <f>B9*(1+5%)</f>
        <v>11.650791499593753</v>
      </c>
      <c r="C10" s="5" t="s">
        <v>563</v>
      </c>
      <c r="D10" s="8">
        <f t="shared" si="1"/>
        <v>0.5470342448433172</v>
      </c>
      <c r="E10" s="5" t="s">
        <v>18</v>
      </c>
      <c r="F10" s="2">
        <f t="shared" si="0"/>
        <v>6.3733819298072074</v>
      </c>
      <c r="G10" s="5" t="s">
        <v>28</v>
      </c>
      <c r="H10" s="2">
        <f>SUM(F$4:F10)</f>
        <v>50.048724342560753</v>
      </c>
      <c r="I10" s="5" t="s">
        <v>576</v>
      </c>
      <c r="J10" s="20" t="s">
        <v>1073</v>
      </c>
      <c r="K10" s="17"/>
    </row>
    <row r="11" spans="1:12">
      <c r="A11" s="1" t="s">
        <v>48</v>
      </c>
      <c r="B11" s="2">
        <f>B10*(1+5%)</f>
        <v>12.23333107457344</v>
      </c>
      <c r="C11" s="5" t="s">
        <v>564</v>
      </c>
      <c r="D11" s="8">
        <f t="shared" si="1"/>
        <v>0.50186627967276798</v>
      </c>
      <c r="E11" s="5" t="s">
        <v>19</v>
      </c>
      <c r="F11" s="2">
        <f t="shared" si="0"/>
        <v>6.1394963544014374</v>
      </c>
      <c r="G11" s="5" t="s">
        <v>29</v>
      </c>
      <c r="H11" s="2">
        <f>SUM(F$4:F11)</f>
        <v>56.18822069696219</v>
      </c>
      <c r="I11" s="5" t="s">
        <v>577</v>
      </c>
      <c r="J11" s="20" t="s">
        <v>569</v>
      </c>
      <c r="K11" s="17"/>
    </row>
    <row r="12" spans="1:12">
      <c r="A12" s="1" t="s">
        <v>49</v>
      </c>
      <c r="B12" s="2">
        <f>B11*(1+5%)</f>
        <v>12.844997628302114</v>
      </c>
      <c r="C12" s="5" t="s">
        <v>565</v>
      </c>
      <c r="D12" s="8">
        <f t="shared" si="1"/>
        <v>0.46042777951630087</v>
      </c>
      <c r="E12" s="5" t="s">
        <v>20</v>
      </c>
      <c r="F12" s="2">
        <f t="shared" si="0"/>
        <v>5.9141937358912928</v>
      </c>
      <c r="G12" s="5" t="s">
        <v>30</v>
      </c>
      <c r="H12" s="2">
        <f>SUM(F$4:F12)</f>
        <v>62.102414432853486</v>
      </c>
      <c r="I12" s="5" t="s">
        <v>578</v>
      </c>
      <c r="J12" s="13" t="s">
        <v>35</v>
      </c>
      <c r="K12" s="23">
        <f>B15/(9%-5%)*D13</f>
        <v>149.55042646376495</v>
      </c>
    </row>
    <row r="13" spans="1:12">
      <c r="A13" s="9" t="s">
        <v>50</v>
      </c>
      <c r="B13" s="10">
        <f>B12*(1+5%)</f>
        <v>13.48724750971722</v>
      </c>
      <c r="C13" s="11" t="s">
        <v>566</v>
      </c>
      <c r="D13" s="12">
        <f>D12/(1+9%)</f>
        <v>0.42241080689568883</v>
      </c>
      <c r="E13" s="11" t="s">
        <v>21</v>
      </c>
      <c r="F13" s="10">
        <f t="shared" si="0"/>
        <v>5.6971591033815203</v>
      </c>
      <c r="G13" s="11" t="s">
        <v>31</v>
      </c>
      <c r="H13" s="2">
        <f>SUM(F$4:F13)</f>
        <v>67.799573536235002</v>
      </c>
      <c r="I13" s="5" t="s">
        <v>32</v>
      </c>
      <c r="J13" s="14" t="s">
        <v>555</v>
      </c>
      <c r="K13" s="19">
        <f>K3+K12</f>
        <v>217.34999999999997</v>
      </c>
    </row>
    <row r="14" spans="1:12">
      <c r="A14" s="14" t="s">
        <v>35</v>
      </c>
      <c r="B14" s="15" t="s">
        <v>37</v>
      </c>
      <c r="D14" s="16" t="s">
        <v>11</v>
      </c>
      <c r="L14" s="18"/>
    </row>
    <row r="15" spans="1:12">
      <c r="A15" s="1" t="s">
        <v>51</v>
      </c>
      <c r="B15" s="2">
        <f>B13*(1+5%)</f>
        <v>14.161609885203081</v>
      </c>
      <c r="C15" s="5" t="s">
        <v>567</v>
      </c>
      <c r="D15" s="8">
        <f>D13/(1+9%)</f>
        <v>0.38753285036301727</v>
      </c>
      <c r="E15" s="5" t="s">
        <v>243</v>
      </c>
      <c r="F15" s="2">
        <f>B15*D15</f>
        <v>5.488089044541832</v>
      </c>
      <c r="G15" s="5" t="s">
        <v>244</v>
      </c>
      <c r="H15" s="2">
        <f>SUM(F$4:F15)</f>
        <v>73.287662580776839</v>
      </c>
      <c r="I15" s="5" t="s">
        <v>579</v>
      </c>
      <c r="L15" s="18"/>
    </row>
    <row r="16" spans="1:12">
      <c r="A16" s="1" t="s">
        <v>53</v>
      </c>
      <c r="B16" s="2">
        <f>B15*(1+5%)</f>
        <v>14.869690379463236</v>
      </c>
      <c r="C16" s="5" t="s">
        <v>568</v>
      </c>
      <c r="D16" s="8">
        <f>D15/(1+9%)</f>
        <v>0.35553472510368556</v>
      </c>
      <c r="F16" s="2">
        <f t="shared" ref="F16:F79" si="2">B16*D16</f>
        <v>5.2866912814393796</v>
      </c>
      <c r="H16" s="2">
        <f>SUM(F$4:F16)</f>
        <v>78.574353862216213</v>
      </c>
      <c r="I16" s="5" t="s">
        <v>580</v>
      </c>
      <c r="L16" s="18"/>
    </row>
    <row r="17" spans="1:12">
      <c r="A17" s="1" t="s">
        <v>54</v>
      </c>
      <c r="B17" s="2">
        <f t="shared" ref="B17:B80" si="3">B16*(1+5%)</f>
        <v>15.613174898436398</v>
      </c>
      <c r="D17" s="8">
        <f t="shared" ref="D17:D80" si="4">D16/(1+9%)</f>
        <v>0.32617864688411519</v>
      </c>
      <c r="F17" s="2">
        <f t="shared" si="2"/>
        <v>5.0926842619370172</v>
      </c>
      <c r="H17" s="2">
        <f>SUM(F$4:F17)</f>
        <v>83.667038124153237</v>
      </c>
      <c r="I17" s="5" t="s">
        <v>581</v>
      </c>
      <c r="L17" s="18"/>
    </row>
    <row r="18" spans="1:12">
      <c r="A18" s="1" t="s">
        <v>55</v>
      </c>
      <c r="B18" s="2">
        <f t="shared" si="3"/>
        <v>16.393833643358217</v>
      </c>
      <c r="D18" s="8">
        <f t="shared" si="4"/>
        <v>0.29924646503129831</v>
      </c>
      <c r="F18" s="2">
        <f t="shared" si="2"/>
        <v>4.9057967660861168</v>
      </c>
      <c r="H18" s="2">
        <f>SUM(F$4:F18)</f>
        <v>88.572834890239349</v>
      </c>
      <c r="I18" s="5" t="s">
        <v>582</v>
      </c>
      <c r="J18" s="22"/>
      <c r="L18" s="18"/>
    </row>
    <row r="19" spans="1:12">
      <c r="A19" s="1" t="s">
        <v>56</v>
      </c>
      <c r="B19" s="2">
        <f t="shared" si="3"/>
        <v>17.213525325526128</v>
      </c>
      <c r="D19" s="8">
        <f t="shared" si="4"/>
        <v>0.27453804131311771</v>
      </c>
      <c r="F19" s="2">
        <f t="shared" si="2"/>
        <v>4.7257675269636898</v>
      </c>
      <c r="H19" s="2">
        <f>SUM(F$4:F19)</f>
        <v>93.298602417203043</v>
      </c>
      <c r="I19" s="5" t="s">
        <v>583</v>
      </c>
      <c r="L19" s="18"/>
    </row>
    <row r="20" spans="1:12">
      <c r="A20" s="1" t="s">
        <v>57</v>
      </c>
      <c r="B20" s="2">
        <f t="shared" si="3"/>
        <v>18.074201591802435</v>
      </c>
      <c r="D20" s="8">
        <f t="shared" si="4"/>
        <v>0.25186976267258504</v>
      </c>
      <c r="F20" s="2">
        <f t="shared" si="2"/>
        <v>4.5523448654237377</v>
      </c>
      <c r="H20" s="2">
        <f>SUM(F$4:F20)</f>
        <v>97.850947282626777</v>
      </c>
      <c r="I20" s="5" t="s">
        <v>584</v>
      </c>
    </row>
    <row r="21" spans="1:12">
      <c r="A21" s="1" t="s">
        <v>58</v>
      </c>
      <c r="B21" s="2">
        <f t="shared" si="3"/>
        <v>18.977911671392558</v>
      </c>
      <c r="D21" s="8">
        <f t="shared" si="4"/>
        <v>0.23107317676383948</v>
      </c>
      <c r="F21" s="2">
        <f t="shared" si="2"/>
        <v>4.3852863382522251</v>
      </c>
      <c r="H21" s="2">
        <f>SUM(F$4:F21)</f>
        <v>102.23623362087901</v>
      </c>
      <c r="I21" s="5" t="s">
        <v>585</v>
      </c>
    </row>
    <row r="22" spans="1:12">
      <c r="A22" s="1" t="s">
        <v>59</v>
      </c>
      <c r="B22" s="2">
        <f t="shared" si="3"/>
        <v>19.926807254962188</v>
      </c>
      <c r="D22" s="8">
        <f t="shared" si="4"/>
        <v>0.21199374015031144</v>
      </c>
      <c r="F22" s="2">
        <f t="shared" si="2"/>
        <v>4.224358399233795</v>
      </c>
      <c r="H22" s="2">
        <f>SUM(F$4:F22)</f>
        <v>106.4605920201128</v>
      </c>
      <c r="I22" s="5" t="s">
        <v>586</v>
      </c>
    </row>
    <row r="23" spans="1:12">
      <c r="A23" s="1" t="s">
        <v>60</v>
      </c>
      <c r="B23" s="2">
        <f t="shared" si="3"/>
        <v>20.923147617710299</v>
      </c>
      <c r="D23" s="8">
        <f t="shared" si="4"/>
        <v>0.19448966986267102</v>
      </c>
      <c r="F23" s="2">
        <f t="shared" si="2"/>
        <v>4.0693360726564078</v>
      </c>
      <c r="H23" s="2">
        <f>SUM(F$4:F23)</f>
        <v>110.52992809276921</v>
      </c>
      <c r="I23" s="5" t="s">
        <v>587</v>
      </c>
    </row>
    <row r="24" spans="1:12">
      <c r="A24" s="1" t="s">
        <v>61</v>
      </c>
      <c r="B24" s="2">
        <f t="shared" si="3"/>
        <v>21.969304998595813</v>
      </c>
      <c r="D24" s="8">
        <f t="shared" si="4"/>
        <v>0.17843088978226698</v>
      </c>
      <c r="F24" s="2">
        <f t="shared" si="2"/>
        <v>3.9200026387974565</v>
      </c>
      <c r="H24" s="2">
        <f>SUM(F$4:F24)</f>
        <v>114.44993073156667</v>
      </c>
      <c r="I24" s="5" t="s">
        <v>588</v>
      </c>
    </row>
    <row r="25" spans="1:12">
      <c r="A25" s="1" t="s">
        <v>62</v>
      </c>
      <c r="B25" s="2">
        <f t="shared" si="3"/>
        <v>23.067770248525605</v>
      </c>
      <c r="D25" s="8">
        <f t="shared" si="4"/>
        <v>0.16369806402042841</v>
      </c>
      <c r="F25" s="2">
        <f t="shared" si="2"/>
        <v>3.7761493309516783</v>
      </c>
      <c r="H25" s="2">
        <f>SUM(F$4:F25)</f>
        <v>118.22608006251835</v>
      </c>
      <c r="I25" s="5" t="s">
        <v>589</v>
      </c>
    </row>
    <row r="26" spans="1:12">
      <c r="A26" s="1" t="s">
        <v>63</v>
      </c>
      <c r="B26" s="2">
        <f t="shared" si="3"/>
        <v>24.221158760951887</v>
      </c>
      <c r="D26" s="8">
        <f t="shared" si="4"/>
        <v>0.15018171011048478</v>
      </c>
      <c r="F26" s="2">
        <f t="shared" si="2"/>
        <v>3.6375750435773053</v>
      </c>
      <c r="H26" s="2">
        <f>SUM(F$4:F26)</f>
        <v>121.86365510609565</v>
      </c>
      <c r="I26" s="5" t="s">
        <v>590</v>
      </c>
    </row>
    <row r="27" spans="1:12">
      <c r="A27" s="1" t="s">
        <v>64</v>
      </c>
      <c r="B27" s="2">
        <f t="shared" si="3"/>
        <v>25.432216698999483</v>
      </c>
      <c r="D27" s="8">
        <f t="shared" si="4"/>
        <v>0.1377813854224631</v>
      </c>
      <c r="F27" s="2">
        <f t="shared" si="2"/>
        <v>3.5040860511524499</v>
      </c>
      <c r="H27" s="2">
        <f>SUM(F$4:F27)</f>
        <v>125.3677411572481</v>
      </c>
      <c r="I27" s="5" t="s">
        <v>591</v>
      </c>
    </row>
    <row r="28" spans="1:12">
      <c r="A28" s="1" t="s">
        <v>65</v>
      </c>
      <c r="B28" s="2">
        <f t="shared" si="3"/>
        <v>26.703827533949458</v>
      </c>
      <c r="D28" s="8">
        <f t="shared" si="4"/>
        <v>0.1264049407545533</v>
      </c>
      <c r="F28" s="2">
        <f t="shared" si="2"/>
        <v>3.3754957373486905</v>
      </c>
      <c r="H28" s="2">
        <f>SUM(F$4:F28)</f>
        <v>128.74323689459681</v>
      </c>
      <c r="I28" s="5" t="s">
        <v>592</v>
      </c>
    </row>
    <row r="29" spans="1:12">
      <c r="A29" s="1" t="s">
        <v>66</v>
      </c>
      <c r="B29" s="2">
        <f t="shared" si="3"/>
        <v>28.039018910646931</v>
      </c>
      <c r="D29" s="8">
        <f t="shared" si="4"/>
        <v>0.11596783555463605</v>
      </c>
      <c r="F29" s="2">
        <f t="shared" si="2"/>
        <v>3.2516243341432336</v>
      </c>
      <c r="H29" s="2">
        <f>SUM(F$4:F29)</f>
        <v>131.99486122874004</v>
      </c>
      <c r="I29" s="5" t="s">
        <v>593</v>
      </c>
    </row>
    <row r="30" spans="1:12">
      <c r="A30" s="1" t="s">
        <v>67</v>
      </c>
      <c r="B30" s="2">
        <f t="shared" si="3"/>
        <v>29.440969856179279</v>
      </c>
      <c r="D30" s="8">
        <f t="shared" si="4"/>
        <v>0.10639250968315234</v>
      </c>
      <c r="F30" s="2">
        <f t="shared" si="2"/>
        <v>3.1322986705049503</v>
      </c>
      <c r="H30" s="2">
        <f>SUM(F$4:F30)</f>
        <v>135.12715989924499</v>
      </c>
      <c r="I30" s="5" t="s">
        <v>594</v>
      </c>
    </row>
    <row r="31" spans="1:12">
      <c r="A31" s="1" t="s">
        <v>69</v>
      </c>
      <c r="B31" s="2">
        <f t="shared" si="3"/>
        <v>30.913018348988246</v>
      </c>
      <c r="D31" s="8">
        <f t="shared" si="4"/>
        <v>9.7607807048763609E-2</v>
      </c>
      <c r="F31" s="2">
        <f t="shared" si="2"/>
        <v>3.0173519303029335</v>
      </c>
      <c r="H31" s="2">
        <f>SUM(F$4:F31)</f>
        <v>138.14451182954792</v>
      </c>
      <c r="I31" s="5" t="s">
        <v>595</v>
      </c>
    </row>
    <row r="32" spans="1:12">
      <c r="A32" s="1" t="s">
        <v>70</v>
      </c>
      <c r="B32" s="2">
        <f t="shared" si="3"/>
        <v>32.45866926643766</v>
      </c>
      <c r="D32" s="8">
        <f t="shared" si="4"/>
        <v>8.9548446833728076E-2</v>
      </c>
      <c r="F32" s="2">
        <f t="shared" si="2"/>
        <v>2.9066234190991564</v>
      </c>
      <c r="H32" s="2">
        <f>SUM(F$4:F32)</f>
        <v>141.05113524864709</v>
      </c>
      <c r="I32" s="5" t="s">
        <v>596</v>
      </c>
    </row>
    <row r="33" spans="1:9">
      <c r="A33" s="1" t="s">
        <v>71</v>
      </c>
      <c r="B33" s="2">
        <f t="shared" si="3"/>
        <v>34.081602729759545</v>
      </c>
      <c r="D33" s="8">
        <f t="shared" si="4"/>
        <v>8.215453837956703E-2</v>
      </c>
      <c r="F33" s="2">
        <f t="shared" si="2"/>
        <v>2.7999583394991872</v>
      </c>
      <c r="H33" s="2">
        <f>SUM(F$4:F33)</f>
        <v>143.85109358814628</v>
      </c>
      <c r="I33" s="5" t="s">
        <v>597</v>
      </c>
    </row>
    <row r="34" spans="1:9">
      <c r="A34" s="1" t="s">
        <v>72</v>
      </c>
      <c r="B34" s="2">
        <f t="shared" si="3"/>
        <v>35.785682866247527</v>
      </c>
      <c r="D34" s="8">
        <f t="shared" si="4"/>
        <v>7.5371136128043137E-2</v>
      </c>
      <c r="F34" s="2">
        <f t="shared" si="2"/>
        <v>2.6972075747469231</v>
      </c>
      <c r="H34" s="2">
        <f>SUM(F$4:F34)</f>
        <v>146.54830116289321</v>
      </c>
      <c r="I34" s="5" t="s">
        <v>598</v>
      </c>
    </row>
    <row r="35" spans="1:9">
      <c r="A35" s="1" t="s">
        <v>73</v>
      </c>
      <c r="B35" s="2">
        <f t="shared" si="3"/>
        <v>37.574967009559906</v>
      </c>
      <c r="D35" s="8">
        <f t="shared" si="4"/>
        <v>6.9147831310131316E-2</v>
      </c>
      <c r="F35" s="2">
        <f t="shared" si="2"/>
        <v>2.5982274802607979</v>
      </c>
      <c r="H35" s="2">
        <f>SUM(F$4:F35)</f>
        <v>149.146528643154</v>
      </c>
      <c r="I35" s="5" t="s">
        <v>599</v>
      </c>
    </row>
    <row r="36" spans="1:9">
      <c r="A36" s="1" t="s">
        <v>74</v>
      </c>
      <c r="B36" s="2">
        <f t="shared" si="3"/>
        <v>39.453715360037904</v>
      </c>
      <c r="D36" s="8">
        <f t="shared" si="4"/>
        <v>6.3438377348744315E-2</v>
      </c>
      <c r="F36" s="2">
        <f t="shared" si="2"/>
        <v>2.5028796828200344</v>
      </c>
      <c r="H36" s="2">
        <f>SUM(F$4:F36)</f>
        <v>151.64940832597404</v>
      </c>
      <c r="I36" s="5" t="s">
        <v>600</v>
      </c>
    </row>
    <row r="37" spans="1:9">
      <c r="A37" s="1" t="s">
        <v>75</v>
      </c>
      <c r="B37" s="2">
        <f t="shared" si="3"/>
        <v>41.426401128039799</v>
      </c>
      <c r="D37" s="8">
        <f t="shared" si="4"/>
        <v>5.8200346191508545E-2</v>
      </c>
      <c r="F37" s="2">
        <f t="shared" si="2"/>
        <v>2.4110308871202166</v>
      </c>
      <c r="H37" s="2">
        <f>SUM(F$4:F37)</f>
        <v>154.06043921309424</v>
      </c>
      <c r="I37" s="5" t="s">
        <v>601</v>
      </c>
    </row>
    <row r="38" spans="1:9">
      <c r="A38" s="1" t="s">
        <v>76</v>
      </c>
      <c r="B38" s="2">
        <f t="shared" si="3"/>
        <v>43.497721184441794</v>
      </c>
      <c r="D38" s="8">
        <f t="shared" si="4"/>
        <v>5.3394813019732604E-2</v>
      </c>
      <c r="F38" s="2">
        <f t="shared" si="2"/>
        <v>2.3225526894277313</v>
      </c>
      <c r="H38" s="2">
        <f>SUM(F$4:F38)</f>
        <v>156.38299190252198</v>
      </c>
      <c r="I38" s="5" t="s">
        <v>602</v>
      </c>
    </row>
    <row r="39" spans="1:9">
      <c r="A39" s="1" t="s">
        <v>77</v>
      </c>
      <c r="B39" s="2">
        <f t="shared" si="3"/>
        <v>45.672607243663883</v>
      </c>
      <c r="D39" s="8">
        <f t="shared" si="4"/>
        <v>4.8986066990580369E-2</v>
      </c>
      <c r="F39" s="2">
        <f t="shared" si="2"/>
        <v>2.2373213980725852</v>
      </c>
      <c r="H39" s="2">
        <f>SUM(F$4:F39)</f>
        <v>158.62031330059457</v>
      </c>
      <c r="I39" s="5" t="s">
        <v>603</v>
      </c>
    </row>
    <row r="40" spans="1:9">
      <c r="A40" s="1" t="s">
        <v>78</v>
      </c>
      <c r="B40" s="2">
        <f t="shared" si="3"/>
        <v>47.956237605847079</v>
      </c>
      <c r="D40" s="8">
        <f t="shared" si="4"/>
        <v>4.4941345862917766E-2</v>
      </c>
      <c r="F40" s="2">
        <f t="shared" si="2"/>
        <v>2.1552178605286372</v>
      </c>
      <c r="H40" s="2">
        <f>SUM(F$4:F40)</f>
        <v>160.77553116112321</v>
      </c>
      <c r="I40" s="5" t="s">
        <v>604</v>
      </c>
    </row>
    <row r="41" spans="1:9">
      <c r="A41" s="1" t="s">
        <v>79</v>
      </c>
      <c r="B41" s="2">
        <f t="shared" si="3"/>
        <v>50.354049486139438</v>
      </c>
      <c r="D41" s="8">
        <f t="shared" si="4"/>
        <v>4.123059253478694E-2</v>
      </c>
      <c r="F41" s="2">
        <f t="shared" si="2"/>
        <v>2.076127296839513</v>
      </c>
      <c r="H41" s="2">
        <f>SUM(F$4:F41)</f>
        <v>162.85165845796271</v>
      </c>
      <c r="I41" s="5" t="s">
        <v>605</v>
      </c>
    </row>
    <row r="42" spans="1:9">
      <c r="A42" s="1" t="s">
        <v>80</v>
      </c>
      <c r="B42" s="2">
        <f t="shared" si="3"/>
        <v>52.87175196044641</v>
      </c>
      <c r="D42" s="8">
        <f t="shared" si="4"/>
        <v>3.7826231683290766E-2</v>
      </c>
      <c r="F42" s="2">
        <f t="shared" si="2"/>
        <v>1.9999391391573287</v>
      </c>
      <c r="H42" s="2">
        <f>SUM(F$4:F42)</f>
        <v>164.85159759712005</v>
      </c>
      <c r="I42" s="5" t="s">
        <v>606</v>
      </c>
    </row>
    <row r="43" spans="1:9">
      <c r="A43" s="1" t="s">
        <v>81</v>
      </c>
      <c r="B43" s="2">
        <f t="shared" si="3"/>
        <v>55.515339558468732</v>
      </c>
      <c r="D43" s="8">
        <f t="shared" si="4"/>
        <v>3.4702964847055748E-2</v>
      </c>
      <c r="F43" s="2">
        <f t="shared" si="2"/>
        <v>1.9265468771699037</v>
      </c>
      <c r="H43" s="2">
        <f>SUM(F$4:F43)</f>
        <v>166.77814447428995</v>
      </c>
      <c r="I43" s="5" t="s">
        <v>607</v>
      </c>
    </row>
    <row r="44" spans="1:9">
      <c r="A44" s="1" t="s">
        <v>82</v>
      </c>
      <c r="B44" s="2">
        <f t="shared" si="3"/>
        <v>58.291106536392171</v>
      </c>
      <c r="D44" s="8">
        <f t="shared" si="4"/>
        <v>3.1837582428491509E-2</v>
      </c>
      <c r="F44" s="2">
        <f t="shared" si="2"/>
        <v>1.8558479092003659</v>
      </c>
      <c r="H44" s="2">
        <f>SUM(F$4:F44)</f>
        <v>168.63399238349032</v>
      </c>
      <c r="I44" s="5" t="s">
        <v>608</v>
      </c>
    </row>
    <row r="45" spans="1:9">
      <c r="A45" s="1" t="s">
        <v>83</v>
      </c>
      <c r="B45" s="2">
        <f t="shared" si="3"/>
        <v>61.20566186321178</v>
      </c>
      <c r="D45" s="8">
        <f t="shared" si="4"/>
        <v>2.9208791218799549E-2</v>
      </c>
      <c r="F45" s="2">
        <f t="shared" si="2"/>
        <v>1.7877433987709948</v>
      </c>
      <c r="H45" s="2">
        <f>SUM(F$4:F45)</f>
        <v>170.42173578226132</v>
      </c>
      <c r="I45" s="5" t="s">
        <v>609</v>
      </c>
    </row>
    <row r="46" spans="1:9">
      <c r="A46" s="1" t="s">
        <v>84</v>
      </c>
      <c r="B46" s="2">
        <f t="shared" si="3"/>
        <v>64.265944956372365</v>
      </c>
      <c r="D46" s="8">
        <f t="shared" si="4"/>
        <v>2.6797056164036281E-2</v>
      </c>
      <c r="F46" s="2">
        <f t="shared" si="2"/>
        <v>1.7221381364307744</v>
      </c>
      <c r="H46" s="2">
        <f>SUM(F$4:F46)</f>
        <v>172.14387391869209</v>
      </c>
      <c r="I46" s="5" t="s">
        <v>610</v>
      </c>
    </row>
    <row r="47" spans="1:9">
      <c r="A47" s="1" t="s">
        <v>85</v>
      </c>
      <c r="B47" s="2">
        <f t="shared" si="3"/>
        <v>67.479242204190982</v>
      </c>
      <c r="D47" s="8">
        <f t="shared" si="4"/>
        <v>2.4584455196363559E-2</v>
      </c>
      <c r="F47" s="2">
        <f t="shared" si="2"/>
        <v>1.6589404066534981</v>
      </c>
      <c r="H47" s="2">
        <f>SUM(F$4:F47)</f>
        <v>173.80281432534559</v>
      </c>
      <c r="I47" s="5" t="s">
        <v>611</v>
      </c>
    </row>
    <row r="48" spans="1:9">
      <c r="A48" s="1" t="s">
        <v>86</v>
      </c>
      <c r="B48" s="2">
        <f t="shared" si="3"/>
        <v>70.853204314400529</v>
      </c>
      <c r="D48" s="8">
        <f t="shared" si="4"/>
        <v>2.2554546051709687E-2</v>
      </c>
      <c r="F48" s="2">
        <f t="shared" si="2"/>
        <v>1.5980618596203422</v>
      </c>
      <c r="H48" s="2">
        <f>SUM(F$4:F48)</f>
        <v>175.40087618496594</v>
      </c>
      <c r="I48" s="5" t="s">
        <v>612</v>
      </c>
    </row>
    <row r="49" spans="1:9">
      <c r="A49" s="1" t="s">
        <v>87</v>
      </c>
      <c r="B49" s="2">
        <f t="shared" si="3"/>
        <v>74.395864530120562</v>
      </c>
      <c r="D49" s="8">
        <f t="shared" si="4"/>
        <v>2.0692244084137328E-2</v>
      </c>
      <c r="F49" s="2">
        <f t="shared" si="2"/>
        <v>1.5394173877076693</v>
      </c>
      <c r="H49" s="2">
        <f>SUM(F$4:F49)</f>
        <v>176.9402935726736</v>
      </c>
      <c r="I49" s="5" t="s">
        <v>613</v>
      </c>
    </row>
    <row r="50" spans="1:9">
      <c r="A50" s="1" t="s">
        <v>88</v>
      </c>
      <c r="B50" s="2">
        <f t="shared" si="3"/>
        <v>78.11565775662659</v>
      </c>
      <c r="D50" s="8">
        <f t="shared" si="4"/>
        <v>1.8983710168933327E-2</v>
      </c>
      <c r="F50" s="2">
        <f t="shared" si="2"/>
        <v>1.4829250065073876</v>
      </c>
      <c r="H50" s="2">
        <f>SUM(F$4:F50)</f>
        <v>178.423218579181</v>
      </c>
      <c r="I50" s="5" t="s">
        <v>614</v>
      </c>
    </row>
    <row r="51" spans="1:9">
      <c r="A51" s="1" t="s">
        <v>89</v>
      </c>
      <c r="B51" s="2">
        <f t="shared" si="3"/>
        <v>82.021440644457925</v>
      </c>
      <c r="D51" s="8">
        <f t="shared" si="4"/>
        <v>1.741624786140672E-2</v>
      </c>
      <c r="F51" s="2">
        <f t="shared" si="2"/>
        <v>1.4285057402135386</v>
      </c>
      <c r="H51" s="2">
        <f>SUM(F$4:F51)</f>
        <v>179.85172431939455</v>
      </c>
      <c r="I51" s="5" t="s">
        <v>615</v>
      </c>
    </row>
    <row r="52" spans="1:9">
      <c r="A52" s="1" t="s">
        <v>90</v>
      </c>
      <c r="B52" s="2">
        <f t="shared" si="3"/>
        <v>86.122512676680827</v>
      </c>
      <c r="D52" s="8">
        <f t="shared" si="4"/>
        <v>1.5978209047162129E-2</v>
      </c>
      <c r="F52" s="2">
        <f t="shared" si="2"/>
        <v>1.3760835112148766</v>
      </c>
      <c r="H52" s="2">
        <f>SUM(F$4:F52)</f>
        <v>181.22780783060944</v>
      </c>
      <c r="I52" s="5" t="s">
        <v>616</v>
      </c>
    </row>
    <row r="53" spans="1:9">
      <c r="A53" s="1" t="s">
        <v>91</v>
      </c>
      <c r="B53" s="2">
        <f t="shared" si="3"/>
        <v>90.42863831051487</v>
      </c>
      <c r="D53" s="8">
        <f t="shared" si="4"/>
        <v>1.4658907382717547E-2</v>
      </c>
      <c r="F53" s="2">
        <f t="shared" si="2"/>
        <v>1.3255850337391013</v>
      </c>
      <c r="H53" s="2">
        <f>SUM(F$4:F53)</f>
        <v>182.55339286434852</v>
      </c>
      <c r="I53" s="5" t="s">
        <v>617</v>
      </c>
    </row>
    <row r="54" spans="1:9">
      <c r="A54" s="1" t="s">
        <v>92</v>
      </c>
      <c r="B54" s="2">
        <f t="shared" si="3"/>
        <v>94.950070226040623</v>
      </c>
      <c r="D54" s="8">
        <f t="shared" si="4"/>
        <v>1.3448538883227107E-2</v>
      </c>
      <c r="F54" s="2">
        <f t="shared" si="2"/>
        <v>1.2769397114000518</v>
      </c>
      <c r="H54" s="2">
        <f>SUM(F$4:F54)</f>
        <v>183.83033257574857</v>
      </c>
      <c r="I54" s="5" t="s">
        <v>618</v>
      </c>
    </row>
    <row r="55" spans="1:9">
      <c r="A55" s="1" t="s">
        <v>93</v>
      </c>
      <c r="B55" s="2">
        <f t="shared" si="3"/>
        <v>99.697573737342651</v>
      </c>
      <c r="D55" s="8">
        <f t="shared" si="4"/>
        <v>1.2338109067180832E-2</v>
      </c>
      <c r="F55" s="2">
        <f t="shared" si="2"/>
        <v>1.230079538504637</v>
      </c>
      <c r="H55" s="2">
        <f>SUM(F$4:F55)</f>
        <v>185.06041211425321</v>
      </c>
      <c r="I55" s="5" t="s">
        <v>619</v>
      </c>
    </row>
    <row r="56" spans="1:9">
      <c r="A56" s="1" t="s">
        <v>94</v>
      </c>
      <c r="B56" s="2">
        <f t="shared" si="3"/>
        <v>104.68245242420979</v>
      </c>
      <c r="D56" s="8">
        <f t="shared" si="4"/>
        <v>1.1319366116679662E-2</v>
      </c>
      <c r="F56" s="2">
        <f t="shared" si="2"/>
        <v>1.1849390049815309</v>
      </c>
      <c r="H56" s="2">
        <f>SUM(F$4:F56)</f>
        <v>186.24535111923475</v>
      </c>
      <c r="I56" s="5" t="s">
        <v>620</v>
      </c>
    </row>
    <row r="57" spans="1:9">
      <c r="A57" s="1" t="s">
        <v>95</v>
      </c>
      <c r="B57" s="2">
        <f t="shared" si="3"/>
        <v>109.91657504542027</v>
      </c>
      <c r="D57" s="8">
        <f t="shared" si="4"/>
        <v>1.0384739556586845E-2</v>
      </c>
      <c r="F57" s="2">
        <f t="shared" si="2"/>
        <v>1.1414550047987224</v>
      </c>
      <c r="H57" s="2">
        <f>SUM(F$4:F57)</f>
        <v>187.38680612403348</v>
      </c>
      <c r="I57" s="5" t="s">
        <v>621</v>
      </c>
    </row>
    <row r="58" spans="1:9">
      <c r="A58" s="1" t="s">
        <v>96</v>
      </c>
      <c r="B58" s="2">
        <f t="shared" si="3"/>
        <v>115.4124037976913</v>
      </c>
      <c r="D58" s="8">
        <f t="shared" si="4"/>
        <v>9.527283996868665E-3</v>
      </c>
      <c r="F58" s="2">
        <f t="shared" si="2"/>
        <v>1.0995667477418887</v>
      </c>
      <c r="H58" s="2">
        <f>SUM(F$4:F58)</f>
        <v>188.48637287177536</v>
      </c>
      <c r="I58" s="5" t="s">
        <v>622</v>
      </c>
    </row>
    <row r="59" spans="1:9">
      <c r="A59" s="1" t="s">
        <v>97</v>
      </c>
      <c r="B59" s="2">
        <f t="shared" si="3"/>
        <v>121.18302398757587</v>
      </c>
      <c r="D59" s="8">
        <f t="shared" si="4"/>
        <v>8.7406275200629952E-3</v>
      </c>
      <c r="F59" s="2">
        <f t="shared" si="2"/>
        <v>1.0592156744302597</v>
      </c>
      <c r="H59" s="2">
        <f>SUM(F$4:F59)</f>
        <v>189.54558854620561</v>
      </c>
      <c r="I59" s="5" t="s">
        <v>623</v>
      </c>
    </row>
    <row r="60" spans="1:9">
      <c r="A60" s="1" t="s">
        <v>98</v>
      </c>
      <c r="B60" s="2">
        <f t="shared" si="3"/>
        <v>127.24217518695467</v>
      </c>
      <c r="D60" s="8">
        <f t="shared" si="4"/>
        <v>8.0189243303330233E-3</v>
      </c>
      <c r="F60" s="2">
        <f t="shared" si="2"/>
        <v>1.0203453744511677</v>
      </c>
      <c r="H60" s="2">
        <f>SUM(F$4:F60)</f>
        <v>190.56593392065679</v>
      </c>
      <c r="I60" s="5" t="s">
        <v>624</v>
      </c>
    </row>
    <row r="61" spans="1:9">
      <c r="A61" s="1" t="s">
        <v>99</v>
      </c>
      <c r="B61" s="2">
        <f t="shared" si="3"/>
        <v>133.60428394630242</v>
      </c>
      <c r="D61" s="8">
        <f t="shared" si="4"/>
        <v>7.3568113122321312E-3</v>
      </c>
      <c r="F61" s="2">
        <f t="shared" si="2"/>
        <v>0.98290150749883132</v>
      </c>
      <c r="H61" s="2">
        <f>SUM(F$4:F61)</f>
        <v>191.54883542815563</v>
      </c>
      <c r="I61" s="5" t="s">
        <v>625</v>
      </c>
    </row>
    <row r="62" spans="1:9">
      <c r="A62" s="1" t="s">
        <v>100</v>
      </c>
      <c r="B62" s="2">
        <f t="shared" si="3"/>
        <v>140.28449814361755</v>
      </c>
      <c r="D62" s="8">
        <f t="shared" si="4"/>
        <v>6.7493681763597527E-3</v>
      </c>
      <c r="F62" s="2">
        <f t="shared" si="2"/>
        <v>0.94683172740713117</v>
      </c>
      <c r="H62" s="2">
        <f>SUM(F$4:F62)</f>
        <v>192.49566715556276</v>
      </c>
      <c r="I62" s="5" t="s">
        <v>626</v>
      </c>
    </row>
    <row r="63" spans="1:9">
      <c r="A63" s="1" t="s">
        <v>101</v>
      </c>
      <c r="B63" s="2">
        <f t="shared" si="3"/>
        <v>147.29872305079843</v>
      </c>
      <c r="D63" s="8">
        <f t="shared" si="4"/>
        <v>6.1920808957428922E-3</v>
      </c>
      <c r="F63" s="2">
        <f t="shared" si="2"/>
        <v>0.9120856089701721</v>
      </c>
      <c r="H63" s="2">
        <f>SUM(F$4:F63)</f>
        <v>193.40775276453292</v>
      </c>
      <c r="I63" s="5" t="s">
        <v>627</v>
      </c>
    </row>
    <row r="64" spans="1:9">
      <c r="A64" s="1" t="s">
        <v>102</v>
      </c>
      <c r="B64" s="2">
        <f t="shared" si="3"/>
        <v>154.66365920333837</v>
      </c>
      <c r="D64" s="8">
        <f t="shared" si="4"/>
        <v>5.6808081612320111E-3</v>
      </c>
      <c r="F64" s="2">
        <f t="shared" si="2"/>
        <v>0.87861457744833105</v>
      </c>
      <c r="H64" s="2">
        <f>SUM(F$4:F64)</f>
        <v>194.28636734198125</v>
      </c>
      <c r="I64" s="5" t="s">
        <v>628</v>
      </c>
    </row>
    <row r="65" spans="1:9">
      <c r="A65" s="1" t="s">
        <v>103</v>
      </c>
      <c r="B65" s="2">
        <f t="shared" si="3"/>
        <v>162.39684216350528</v>
      </c>
      <c r="D65" s="8">
        <f t="shared" si="4"/>
        <v>5.2117506066348719E-3</v>
      </c>
      <c r="F65" s="2">
        <f t="shared" si="2"/>
        <v>0.84637184066123616</v>
      </c>
      <c r="H65" s="2">
        <f>SUM(F$4:F65)</f>
        <v>195.1327391826425</v>
      </c>
      <c r="I65" s="5" t="s">
        <v>629</v>
      </c>
    </row>
    <row r="66" spans="1:9">
      <c r="A66" s="1" t="s">
        <v>104</v>
      </c>
      <c r="B66" s="2">
        <f t="shared" si="3"/>
        <v>170.51668427168056</v>
      </c>
      <c r="D66" s="8">
        <f t="shared" si="4"/>
        <v>4.7814225748943773E-3</v>
      </c>
      <c r="F66" s="2">
        <f t="shared" si="2"/>
        <v>0.81531232357275041</v>
      </c>
      <c r="H66" s="2">
        <f>SUM(F$4:F66)</f>
        <v>195.94805150621525</v>
      </c>
      <c r="I66" s="5" t="s">
        <v>630</v>
      </c>
    </row>
    <row r="67" spans="1:9">
      <c r="A67" s="1" t="s">
        <v>105</v>
      </c>
      <c r="B67" s="2">
        <f t="shared" si="3"/>
        <v>179.04251848526459</v>
      </c>
      <c r="D67" s="8">
        <f t="shared" si="4"/>
        <v>4.3866262154994284E-3</v>
      </c>
      <c r="F67" s="2">
        <f t="shared" si="2"/>
        <v>0.78539260527650268</v>
      </c>
      <c r="H67" s="2">
        <f>SUM(F$4:F67)</f>
        <v>196.73344411149176</v>
      </c>
      <c r="I67" s="5" t="s">
        <v>631</v>
      </c>
    </row>
    <row r="68" spans="1:9">
      <c r="A68" s="1" t="s">
        <v>106</v>
      </c>
      <c r="B68" s="2">
        <f t="shared" si="3"/>
        <v>187.99464440952784</v>
      </c>
      <c r="D68" s="8">
        <f t="shared" si="4"/>
        <v>4.0244277206416771E-3</v>
      </c>
      <c r="F68" s="2">
        <f t="shared" si="2"/>
        <v>0.75657085829387871</v>
      </c>
      <c r="H68" s="2">
        <f>SUM(F$4:F68)</f>
        <v>197.49001496978565</v>
      </c>
      <c r="I68" s="5" t="s">
        <v>632</v>
      </c>
    </row>
    <row r="69" spans="1:9">
      <c r="A69" s="1" t="s">
        <v>107</v>
      </c>
      <c r="B69" s="2">
        <f t="shared" si="3"/>
        <v>197.39437663000425</v>
      </c>
      <c r="D69" s="8">
        <f t="shared" si="4"/>
        <v>3.6921355235244742E-3</v>
      </c>
      <c r="F69" s="2">
        <f t="shared" si="2"/>
        <v>0.72880679009960792</v>
      </c>
      <c r="H69" s="2">
        <f>SUM(F$4:F69)</f>
        <v>198.21882175988526</v>
      </c>
      <c r="I69" s="5" t="s">
        <v>633</v>
      </c>
    </row>
    <row r="70" spans="1:9">
      <c r="A70" s="1" t="s">
        <v>108</v>
      </c>
      <c r="B70" s="2">
        <f t="shared" si="3"/>
        <v>207.26409546150447</v>
      </c>
      <c r="D70" s="8">
        <f t="shared" si="4"/>
        <v>3.3872802968114438E-3</v>
      </c>
      <c r="F70" s="2">
        <f t="shared" si="2"/>
        <v>0.7020615867932003</v>
      </c>
      <c r="H70" s="2">
        <f>SUM(F$4:F70)</f>
        <v>198.92088334667847</v>
      </c>
      <c r="I70" s="5" t="s">
        <v>634</v>
      </c>
    </row>
    <row r="71" spans="1:9">
      <c r="A71" s="1" t="s">
        <v>109</v>
      </c>
      <c r="B71" s="2">
        <f t="shared" si="3"/>
        <v>217.62730023457971</v>
      </c>
      <c r="D71" s="8">
        <f t="shared" si="4"/>
        <v>3.1075966025793061E-3</v>
      </c>
      <c r="F71" s="2">
        <f t="shared" si="2"/>
        <v>0.6762978588374865</v>
      </c>
      <c r="H71" s="2">
        <f>SUM(F$4:F71)</f>
        <v>199.59718120551597</v>
      </c>
      <c r="I71" s="5" t="s">
        <v>635</v>
      </c>
    </row>
    <row r="72" spans="1:9">
      <c r="A72" s="1" t="s">
        <v>110</v>
      </c>
      <c r="B72" s="2">
        <f t="shared" si="3"/>
        <v>228.50866524630871</v>
      </c>
      <c r="D72" s="8">
        <f t="shared" si="4"/>
        <v>2.851006057412207E-3</v>
      </c>
      <c r="F72" s="2">
        <f t="shared" si="2"/>
        <v>0.6514795887884044</v>
      </c>
      <c r="H72" s="2">
        <f>SUM(F$4:F72)</f>
        <v>200.24866079430436</v>
      </c>
      <c r="I72" s="5" t="s">
        <v>636</v>
      </c>
    </row>
    <row r="73" spans="1:9">
      <c r="A73" s="1" t="s">
        <v>111</v>
      </c>
      <c r="B73" s="2">
        <f t="shared" si="3"/>
        <v>239.93409850862415</v>
      </c>
      <c r="D73" s="8">
        <f t="shared" si="4"/>
        <v>2.6156018875341347E-3</v>
      </c>
      <c r="F73" s="2">
        <f t="shared" si="2"/>
        <v>0.62757208094295835</v>
      </c>
      <c r="H73" s="2">
        <f>SUM(F$4:F73)</f>
        <v>200.87623287524733</v>
      </c>
      <c r="I73" s="5" t="s">
        <v>637</v>
      </c>
    </row>
    <row r="74" spans="1:9">
      <c r="A74" s="1" t="s">
        <v>112</v>
      </c>
      <c r="B74" s="2">
        <f t="shared" si="3"/>
        <v>251.93080343405538</v>
      </c>
      <c r="D74" s="8">
        <f t="shared" si="4"/>
        <v>2.3996347592056279E-3</v>
      </c>
      <c r="F74" s="2">
        <f t="shared" si="2"/>
        <v>0.60454191283495984</v>
      </c>
      <c r="H74" s="2">
        <f>SUM(F$4:F74)</f>
        <v>201.48077478808227</v>
      </c>
      <c r="I74" s="5" t="s">
        <v>638</v>
      </c>
    </row>
    <row r="75" spans="1:9">
      <c r="A75" s="1" t="s">
        <v>113</v>
      </c>
      <c r="B75" s="2">
        <f t="shared" si="3"/>
        <v>264.52734360575818</v>
      </c>
      <c r="D75" s="8">
        <f t="shared" si="4"/>
        <v>2.2014997790877318E-3</v>
      </c>
      <c r="F75" s="2">
        <f t="shared" si="2"/>
        <v>0.58235688851074119</v>
      </c>
      <c r="H75" s="2">
        <f>SUM(F$4:F75)</f>
        <v>202.063131676593</v>
      </c>
      <c r="I75" s="5" t="s">
        <v>639</v>
      </c>
    </row>
    <row r="76" spans="1:9">
      <c r="A76" s="1" t="s">
        <v>114</v>
      </c>
      <c r="B76" s="2">
        <f t="shared" si="3"/>
        <v>277.7537107860461</v>
      </c>
      <c r="D76" s="8">
        <f t="shared" si="4"/>
        <v>2.0197245679703961E-3</v>
      </c>
      <c r="F76" s="2">
        <f t="shared" si="2"/>
        <v>0.56098599351952128</v>
      </c>
      <c r="H76" s="2">
        <f>SUM(F$4:F76)</f>
        <v>202.62411767011253</v>
      </c>
      <c r="I76" s="5" t="s">
        <v>640</v>
      </c>
    </row>
    <row r="77" spans="1:9">
      <c r="A77" s="1" t="s">
        <v>115</v>
      </c>
      <c r="B77" s="2">
        <f t="shared" si="3"/>
        <v>291.64139632534841</v>
      </c>
      <c r="D77" s="8">
        <f t="shared" si="4"/>
        <v>1.8529583192388953E-3</v>
      </c>
      <c r="F77" s="2">
        <f t="shared" si="2"/>
        <v>0.54039935155550212</v>
      </c>
      <c r="H77" s="2">
        <f>SUM(F$4:F77)</f>
        <v>203.16451702166802</v>
      </c>
      <c r="I77" s="5" t="s">
        <v>641</v>
      </c>
    </row>
    <row r="78" spans="1:9">
      <c r="A78" s="1" t="s">
        <v>116</v>
      </c>
      <c r="B78" s="2">
        <f t="shared" si="3"/>
        <v>306.22346614161586</v>
      </c>
      <c r="D78" s="8">
        <f t="shared" si="4"/>
        <v>1.6999617607696286E-3</v>
      </c>
      <c r="F78" s="2">
        <f t="shared" si="2"/>
        <v>0.52056818269108007</v>
      </c>
      <c r="H78" s="2">
        <f>SUM(F$4:F78)</f>
        <v>203.6850852043591</v>
      </c>
      <c r="I78" s="5" t="s">
        <v>642</v>
      </c>
    </row>
    <row r="79" spans="1:9">
      <c r="A79" s="1" t="s">
        <v>117</v>
      </c>
      <c r="B79" s="2">
        <f t="shared" si="3"/>
        <v>321.53463944869668</v>
      </c>
      <c r="D79" s="8">
        <f t="shared" si="4"/>
        <v>1.5595979456602097E-3</v>
      </c>
      <c r="F79" s="2">
        <f t="shared" si="2"/>
        <v>0.50146476314278354</v>
      </c>
      <c r="H79" s="2">
        <f>SUM(F$4:F79)</f>
        <v>204.18654996750189</v>
      </c>
      <c r="I79" s="5" t="s">
        <v>643</v>
      </c>
    </row>
    <row r="80" spans="1:9">
      <c r="A80" s="1" t="s">
        <v>118</v>
      </c>
      <c r="B80" s="2">
        <f t="shared" si="3"/>
        <v>337.61137142113154</v>
      </c>
      <c r="D80" s="8">
        <f t="shared" si="4"/>
        <v>1.4308238033579905E-3</v>
      </c>
      <c r="F80" s="2">
        <f t="shared" ref="F80:F143" si="5">B80*D80</f>
        <v>0.4830623865136906</v>
      </c>
      <c r="H80" s="2">
        <f>SUM(F$4:F80)</f>
        <v>204.66961235401558</v>
      </c>
      <c r="I80" s="5" t="s">
        <v>644</v>
      </c>
    </row>
    <row r="81" spans="1:9">
      <c r="A81" s="1" t="s">
        <v>119</v>
      </c>
      <c r="B81" s="2">
        <f t="shared" ref="B81:B144" si="6">B80*(1+5%)</f>
        <v>354.49193999218812</v>
      </c>
      <c r="D81" s="8">
        <f t="shared" ref="D81:D144" si="7">D80/(1+9%)</f>
        <v>1.312682388401826E-3</v>
      </c>
      <c r="F81" s="2">
        <f t="shared" si="5"/>
        <v>0.4653353264581423</v>
      </c>
      <c r="H81" s="2">
        <f>SUM(F$4:F81)</f>
        <v>205.13494768047372</v>
      </c>
      <c r="I81" s="5" t="s">
        <v>645</v>
      </c>
    </row>
    <row r="82" spans="1:9">
      <c r="A82" s="1" t="s">
        <v>120</v>
      </c>
      <c r="B82" s="2">
        <f t="shared" si="6"/>
        <v>372.21653699179757</v>
      </c>
      <c r="D82" s="8">
        <f t="shared" si="7"/>
        <v>1.204295769175987E-3</v>
      </c>
      <c r="F82" s="2">
        <f t="shared" si="5"/>
        <v>0.44825880071655905</v>
      </c>
      <c r="H82" s="2">
        <f>SUM(F$4:F82)</f>
        <v>205.58320648119027</v>
      </c>
      <c r="I82" s="5" t="s">
        <v>646</v>
      </c>
    </row>
    <row r="83" spans="1:9">
      <c r="A83" s="1" t="s">
        <v>121</v>
      </c>
      <c r="B83" s="2">
        <f t="shared" si="6"/>
        <v>390.82736384138747</v>
      </c>
      <c r="D83" s="8">
        <f t="shared" si="7"/>
        <v>1.1048585038311806E-3</v>
      </c>
      <c r="F83" s="2">
        <f t="shared" si="5"/>
        <v>0.43180893647007978</v>
      </c>
      <c r="H83" s="2">
        <f>SUM(F$4:F83)</f>
        <v>206.01501541766035</v>
      </c>
      <c r="I83" s="5" t="s">
        <v>647</v>
      </c>
    </row>
    <row r="84" spans="1:9">
      <c r="A84" s="1" t="s">
        <v>122</v>
      </c>
      <c r="B84" s="17">
        <f t="shared" si="6"/>
        <v>410.36873203345687</v>
      </c>
      <c r="D84" s="8">
        <f t="shared" si="7"/>
        <v>1.0136316548909913E-3</v>
      </c>
      <c r="F84" s="2">
        <f t="shared" si="5"/>
        <v>0.41596273696659064</v>
      </c>
      <c r="H84" s="2">
        <f>SUM(F$4:F84)</f>
        <v>206.43097815462693</v>
      </c>
      <c r="I84" s="5" t="s">
        <v>648</v>
      </c>
    </row>
    <row r="85" spans="1:9">
      <c r="A85" s="1" t="s">
        <v>123</v>
      </c>
      <c r="B85" s="17">
        <f t="shared" si="6"/>
        <v>430.88716863512974</v>
      </c>
      <c r="D85" s="8">
        <f t="shared" si="7"/>
        <v>9.2993729806512958E-4</v>
      </c>
      <c r="F85" s="2">
        <f t="shared" si="5"/>
        <v>0.4006980493714864</v>
      </c>
      <c r="H85" s="2">
        <f>SUM(F$4:F85)</f>
        <v>206.83167620399843</v>
      </c>
      <c r="I85" s="5" t="s">
        <v>649</v>
      </c>
    </row>
    <row r="86" spans="1:9">
      <c r="A86" s="1" t="s">
        <v>124</v>
      </c>
      <c r="B86" s="17">
        <f t="shared" si="6"/>
        <v>452.43152706688625</v>
      </c>
      <c r="D86" s="8">
        <f t="shared" si="7"/>
        <v>8.5315348446342158E-4</v>
      </c>
      <c r="F86" s="2">
        <f t="shared" si="5"/>
        <v>0.38599353379822082</v>
      </c>
      <c r="H86" s="2">
        <f>SUM(F$4:F86)</f>
        <v>207.21766973779665</v>
      </c>
      <c r="I86" s="5" t="s">
        <v>650</v>
      </c>
    </row>
    <row r="87" spans="1:9">
      <c r="A87" s="1" t="s">
        <v>125</v>
      </c>
      <c r="B87" s="17">
        <f t="shared" si="6"/>
        <v>475.05310342023057</v>
      </c>
      <c r="D87" s="8">
        <f t="shared" si="7"/>
        <v>7.8270961877378116E-4</v>
      </c>
      <c r="F87" s="2">
        <f t="shared" si="5"/>
        <v>0.37182863347535028</v>
      </c>
      <c r="H87" s="2">
        <f>SUM(F$4:F87)</f>
        <v>207.58949837127201</v>
      </c>
      <c r="I87" s="5" t="s">
        <v>651</v>
      </c>
    </row>
    <row r="88" spans="1:9">
      <c r="A88" s="1" t="s">
        <v>126</v>
      </c>
      <c r="B88" s="17">
        <f t="shared" si="6"/>
        <v>498.80575859124212</v>
      </c>
      <c r="D88" s="8">
        <f t="shared" si="7"/>
        <v>7.180822190585148E-4</v>
      </c>
      <c r="F88" s="2">
        <f t="shared" si="5"/>
        <v>0.35818354600836499</v>
      </c>
      <c r="H88" s="2">
        <f>SUM(F$4:F88)</f>
        <v>207.94768191728039</v>
      </c>
      <c r="I88" s="5" t="s">
        <v>652</v>
      </c>
    </row>
    <row r="89" spans="1:9">
      <c r="A89" s="1" t="s">
        <v>127</v>
      </c>
      <c r="B89" s="17">
        <f t="shared" si="6"/>
        <v>523.74604652080427</v>
      </c>
      <c r="D89" s="8">
        <f t="shared" si="7"/>
        <v>6.5879102665918781E-4</v>
      </c>
      <c r="F89" s="2">
        <f t="shared" si="5"/>
        <v>0.3450391956961314</v>
      </c>
      <c r="H89" s="2">
        <f>SUM(F$4:F89)</f>
        <v>208.29272111297652</v>
      </c>
      <c r="I89" s="5" t="s">
        <v>653</v>
      </c>
    </row>
    <row r="90" spans="1:9">
      <c r="A90" s="1" t="s">
        <v>128</v>
      </c>
      <c r="B90" s="17">
        <f t="shared" si="6"/>
        <v>549.93334884684452</v>
      </c>
      <c r="D90" s="8">
        <f t="shared" si="7"/>
        <v>6.0439543730200708E-4</v>
      </c>
      <c r="F90" s="2">
        <f t="shared" si="5"/>
        <v>0.33237720686324579</v>
      </c>
      <c r="H90" s="2">
        <f>SUM(F$4:F90)</f>
        <v>208.62509831983976</v>
      </c>
      <c r="I90" s="5" t="s">
        <v>654</v>
      </c>
    </row>
    <row r="91" spans="1:9">
      <c r="A91" s="1" t="s">
        <v>129</v>
      </c>
      <c r="B91" s="17">
        <f t="shared" si="6"/>
        <v>577.43001628918682</v>
      </c>
      <c r="D91" s="8">
        <f t="shared" si="7"/>
        <v>5.5449122688257528E-4</v>
      </c>
      <c r="F91" s="2">
        <f t="shared" si="5"/>
        <v>0.32017987817101662</v>
      </c>
      <c r="H91" s="2">
        <f>SUM(F$4:F91)</f>
        <v>208.94527819801078</v>
      </c>
      <c r="I91" s="5" t="s">
        <v>655</v>
      </c>
    </row>
    <row r="92" spans="1:9">
      <c r="A92" s="1" t="s">
        <v>130</v>
      </c>
      <c r="B92" s="17">
        <f t="shared" si="6"/>
        <v>606.30151710364623</v>
      </c>
      <c r="D92" s="8">
        <f t="shared" si="7"/>
        <v>5.0870754759869291E-4</v>
      </c>
      <c r="F92" s="2">
        <f t="shared" si="5"/>
        <v>0.30843015787116285</v>
      </c>
      <c r="H92" s="2">
        <f>SUM(F$4:F92)</f>
        <v>209.25370835588194</v>
      </c>
      <c r="I92" s="5" t="s">
        <v>656</v>
      </c>
    </row>
    <row r="93" spans="1:9">
      <c r="A93" s="1" t="s">
        <v>131</v>
      </c>
      <c r="B93" s="17">
        <f t="shared" si="6"/>
        <v>636.61659295882862</v>
      </c>
      <c r="D93" s="8">
        <f t="shared" si="7"/>
        <v>4.6670417210889254E-4</v>
      </c>
      <c r="F93" s="2">
        <f t="shared" si="5"/>
        <v>0.29711161996763391</v>
      </c>
      <c r="H93" s="2">
        <f>SUM(F$4:F93)</f>
        <v>209.55081997584958</v>
      </c>
      <c r="I93" s="5" t="s">
        <v>657</v>
      </c>
    </row>
    <row r="94" spans="1:9">
      <c r="A94" s="1" t="s">
        <v>132</v>
      </c>
      <c r="B94" s="17">
        <f t="shared" si="6"/>
        <v>668.44742260677003</v>
      </c>
      <c r="D94" s="8">
        <f t="shared" si="7"/>
        <v>4.2816896523751604E-4</v>
      </c>
      <c r="F94" s="2">
        <f t="shared" si="5"/>
        <v>0.28620844125322531</v>
      </c>
      <c r="H94" s="2">
        <f>SUM(F$4:F94)</f>
        <v>209.8370284171028</v>
      </c>
      <c r="I94" s="5" t="s">
        <v>658</v>
      </c>
    </row>
    <row r="95" spans="1:9">
      <c r="A95" s="1" t="s">
        <v>133</v>
      </c>
      <c r="B95" s="17">
        <f t="shared" si="6"/>
        <v>701.86979373710858</v>
      </c>
      <c r="D95" s="8">
        <f t="shared" si="7"/>
        <v>3.9281556443808809E-4</v>
      </c>
      <c r="F95" s="2">
        <f t="shared" si="5"/>
        <v>0.27570537918888677</v>
      </c>
      <c r="H95" s="2">
        <f>SUM(F$4:F95)</f>
        <v>210.11273379629168</v>
      </c>
      <c r="I95" s="5" t="s">
        <v>659</v>
      </c>
    </row>
    <row r="96" spans="1:9">
      <c r="A96" s="1" t="s">
        <v>134</v>
      </c>
      <c r="B96" s="17">
        <f t="shared" si="6"/>
        <v>736.96328342396407</v>
      </c>
      <c r="D96" s="8">
        <f t="shared" si="7"/>
        <v>3.6038125177806243E-4</v>
      </c>
      <c r="F96" s="2">
        <f t="shared" si="5"/>
        <v>0.26558775059479917</v>
      </c>
      <c r="H96" s="2">
        <f>SUM(F$4:F96)</f>
        <v>210.37832154688647</v>
      </c>
      <c r="I96" s="5" t="s">
        <v>660</v>
      </c>
    </row>
    <row r="97" spans="1:9">
      <c r="A97" s="1" t="s">
        <v>135</v>
      </c>
      <c r="B97" s="17">
        <f t="shared" si="6"/>
        <v>773.81144759516235</v>
      </c>
      <c r="D97" s="8">
        <f t="shared" si="7"/>
        <v>3.306250016312499E-4</v>
      </c>
      <c r="F97" s="2">
        <f t="shared" si="5"/>
        <v>0.2558414111234304</v>
      </c>
      <c r="H97" s="2">
        <f>SUM(F$4:F97)</f>
        <v>210.63416295800991</v>
      </c>
      <c r="I97" s="5" t="s">
        <v>661</v>
      </c>
    </row>
    <row r="98" spans="1:9">
      <c r="A98" s="1" t="s">
        <v>136</v>
      </c>
      <c r="B98" s="17">
        <f t="shared" si="6"/>
        <v>812.50201997492047</v>
      </c>
      <c r="D98" s="8">
        <f t="shared" si="7"/>
        <v>3.0332568956995399E-4</v>
      </c>
      <c r="F98" s="2">
        <f t="shared" si="5"/>
        <v>0.24645273548587329</v>
      </c>
      <c r="H98" s="2">
        <f>SUM(F$4:F98)</f>
        <v>210.88061569349577</v>
      </c>
      <c r="I98" s="5" t="s">
        <v>662</v>
      </c>
    </row>
    <row r="99" spans="1:9">
      <c r="A99" s="1" t="s">
        <v>137</v>
      </c>
      <c r="B99" s="17">
        <f t="shared" si="6"/>
        <v>853.12712097366648</v>
      </c>
      <c r="D99" s="8">
        <f t="shared" si="7"/>
        <v>2.7828044914674676E-4</v>
      </c>
      <c r="F99" s="2">
        <f t="shared" si="5"/>
        <v>0.23740859840382286</v>
      </c>
      <c r="H99" s="2">
        <f>SUM(F$4:F99)</f>
        <v>211.11802429189959</v>
      </c>
      <c r="I99" s="5" t="s">
        <v>663</v>
      </c>
    </row>
    <row r="100" spans="1:9">
      <c r="A100" s="1" t="s">
        <v>138</v>
      </c>
      <c r="B100" s="17">
        <f t="shared" si="6"/>
        <v>895.78347702234987</v>
      </c>
      <c r="D100" s="8">
        <f t="shared" si="7"/>
        <v>2.5530316435481352E-4</v>
      </c>
      <c r="F100" s="2">
        <f t="shared" si="5"/>
        <v>0.22869635626056331</v>
      </c>
      <c r="H100" s="2">
        <f>SUM(F$4:F100)</f>
        <v>211.34672064816016</v>
      </c>
      <c r="I100" s="5" t="s">
        <v>664</v>
      </c>
    </row>
    <row r="101" spans="1:9">
      <c r="A101" s="1" t="s">
        <v>139</v>
      </c>
      <c r="B101" s="17">
        <f t="shared" si="6"/>
        <v>940.57265087346741</v>
      </c>
      <c r="D101" s="8">
        <f t="shared" si="7"/>
        <v>2.342230865640491E-4</v>
      </c>
      <c r="F101" s="2">
        <f t="shared" si="5"/>
        <v>0.22030382942531329</v>
      </c>
      <c r="H101" s="2">
        <f>SUM(F$4:F101)</f>
        <v>211.56702447758548</v>
      </c>
      <c r="I101" s="5" t="s">
        <v>665</v>
      </c>
    </row>
    <row r="102" spans="1:9">
      <c r="A102" s="1" t="s">
        <v>140</v>
      </c>
      <c r="B102" s="17">
        <f t="shared" si="6"/>
        <v>987.60128341714085</v>
      </c>
      <c r="D102" s="8">
        <f t="shared" si="7"/>
        <v>2.1488356565509091E-4</v>
      </c>
      <c r="F102" s="2">
        <f t="shared" si="5"/>
        <v>0.21221928522621922</v>
      </c>
      <c r="H102" s="2">
        <f>SUM(F$4:F102)</f>
        <v>211.77924376281169</v>
      </c>
      <c r="I102" s="5" t="s">
        <v>666</v>
      </c>
    </row>
    <row r="103" spans="1:9">
      <c r="A103" s="1" t="s">
        <v>141</v>
      </c>
      <c r="B103" s="17">
        <f t="shared" si="6"/>
        <v>1036.981347587998</v>
      </c>
      <c r="D103" s="8">
        <f t="shared" si="7"/>
        <v>1.9714088592210174E-4</v>
      </c>
      <c r="F103" s="2">
        <f t="shared" si="5"/>
        <v>0.20443142154819285</v>
      </c>
      <c r="H103" s="2">
        <f>SUM(F$4:F103)</f>
        <v>211.98367518435987</v>
      </c>
      <c r="I103" s="5" t="s">
        <v>667</v>
      </c>
    </row>
    <row r="104" spans="1:9">
      <c r="A104" s="1" t="s">
        <v>142</v>
      </c>
      <c r="B104" s="17">
        <f t="shared" si="6"/>
        <v>1088.8304149673979</v>
      </c>
      <c r="D104" s="8">
        <f t="shared" si="7"/>
        <v>1.8086319809367131E-4</v>
      </c>
      <c r="F104" s="2">
        <f t="shared" si="5"/>
        <v>0.19692935103266282</v>
      </c>
      <c r="H104" s="2">
        <f>SUM(F$4:F104)</f>
        <v>212.18060453539252</v>
      </c>
      <c r="I104" s="5" t="s">
        <v>668</v>
      </c>
    </row>
    <row r="105" spans="1:9">
      <c r="A105" s="1" t="s">
        <v>143</v>
      </c>
      <c r="B105" s="17">
        <f t="shared" si="6"/>
        <v>1143.2719357157678</v>
      </c>
      <c r="D105" s="8">
        <f t="shared" si="7"/>
        <v>1.6592953953547827E-4</v>
      </c>
      <c r="F105" s="2">
        <f t="shared" si="5"/>
        <v>0.18970258585715224</v>
      </c>
      <c r="H105" s="2">
        <f>SUM(F$4:F105)</f>
        <v>212.37030712124968</v>
      </c>
      <c r="I105" s="5" t="s">
        <v>669</v>
      </c>
    </row>
    <row r="106" spans="1:9">
      <c r="A106" s="1" t="s">
        <v>144</v>
      </c>
      <c r="B106" s="17">
        <f t="shared" si="6"/>
        <v>1200.4355325015563</v>
      </c>
      <c r="D106" s="8">
        <f t="shared" si="7"/>
        <v>1.5222893535364978E-4</v>
      </c>
      <c r="F106" s="2">
        <f t="shared" si="5"/>
        <v>0.18274102307340356</v>
      </c>
      <c r="H106" s="2">
        <f>SUM(F$4:F106)</f>
        <v>212.55304814432307</v>
      </c>
      <c r="I106" s="5" t="s">
        <v>670</v>
      </c>
    </row>
    <row r="107" spans="1:9">
      <c r="A107" s="1" t="s">
        <v>145</v>
      </c>
      <c r="B107" s="17">
        <f t="shared" si="6"/>
        <v>1260.4573091266341</v>
      </c>
      <c r="D107" s="8">
        <f t="shared" si="7"/>
        <v>1.3965957371894473E-4</v>
      </c>
      <c r="F107" s="2">
        <f t="shared" si="5"/>
        <v>0.17603493048355387</v>
      </c>
      <c r="H107" s="2">
        <f>SUM(F$4:F107)</f>
        <v>212.72908307480662</v>
      </c>
      <c r="I107" s="5" t="s">
        <v>671</v>
      </c>
    </row>
    <row r="108" spans="1:9">
      <c r="A108" s="1" t="s">
        <v>146</v>
      </c>
      <c r="B108" s="17">
        <f t="shared" si="6"/>
        <v>1323.4801745829659</v>
      </c>
      <c r="D108" s="8">
        <f t="shared" si="7"/>
        <v>1.2812804928343552E-4</v>
      </c>
      <c r="F108" s="2">
        <f t="shared" si="5"/>
        <v>0.1695749330346161</v>
      </c>
      <c r="H108" s="2">
        <f>SUM(F$4:F108)</f>
        <v>212.89865800784125</v>
      </c>
      <c r="I108" s="5" t="s">
        <v>672</v>
      </c>
    </row>
    <row r="109" spans="1:9">
      <c r="A109" s="1" t="s">
        <v>147</v>
      </c>
      <c r="B109" s="17">
        <f t="shared" si="6"/>
        <v>1389.6541833121144</v>
      </c>
      <c r="D109" s="8">
        <f t="shared" si="7"/>
        <v>1.1754866906737203E-4</v>
      </c>
      <c r="F109" s="2">
        <f t="shared" si="5"/>
        <v>0.16335199971224487</v>
      </c>
      <c r="H109" s="2">
        <f>SUM(F$4:F109)</f>
        <v>213.06201000755348</v>
      </c>
      <c r="I109" s="5" t="s">
        <v>673</v>
      </c>
    </row>
    <row r="110" spans="1:9">
      <c r="A110" s="1" t="s">
        <v>148</v>
      </c>
      <c r="B110" s="17">
        <f t="shared" si="6"/>
        <v>1459.13689247772</v>
      </c>
      <c r="D110" s="8">
        <f t="shared" si="7"/>
        <v>1.0784281565813946E-4</v>
      </c>
      <c r="F110" s="2">
        <f t="shared" si="5"/>
        <v>0.15735743091546522</v>
      </c>
      <c r="H110" s="2">
        <f>SUM(F$4:F110)</f>
        <v>213.21936743846894</v>
      </c>
      <c r="I110" s="5" t="s">
        <v>674</v>
      </c>
    </row>
    <row r="111" spans="1:9">
      <c r="A111" s="1" t="s">
        <v>149</v>
      </c>
      <c r="B111" s="17">
        <f t="shared" si="6"/>
        <v>1532.0937371016062</v>
      </c>
      <c r="D111" s="8">
        <f t="shared" si="7"/>
        <v>9.8938362989118764E-5</v>
      </c>
      <c r="F111" s="2">
        <f t="shared" si="5"/>
        <v>0.15158284629471422</v>
      </c>
      <c r="H111" s="2">
        <f>SUM(F$4:F111)</f>
        <v>213.37095028476364</v>
      </c>
      <c r="I111" s="5" t="s">
        <v>675</v>
      </c>
    </row>
    <row r="112" spans="1:9">
      <c r="A112" s="1" t="s">
        <v>150</v>
      </c>
      <c r="B112" s="17">
        <f t="shared" si="6"/>
        <v>1608.6984239566866</v>
      </c>
      <c r="D112" s="8">
        <f t="shared" si="7"/>
        <v>9.0769140356989687E-5</v>
      </c>
      <c r="F112" s="2">
        <f t="shared" si="5"/>
        <v>0.14602017303619258</v>
      </c>
      <c r="H112" s="2">
        <f>SUM(F$4:F112)</f>
        <v>213.51697045779983</v>
      </c>
      <c r="I112" s="5" t="s">
        <v>676</v>
      </c>
    </row>
    <row r="113" spans="1:9">
      <c r="A113" s="1" t="s">
        <v>151</v>
      </c>
      <c r="B113" s="17">
        <f t="shared" si="6"/>
        <v>1689.1333451545211</v>
      </c>
      <c r="D113" s="8">
        <f t="shared" si="7"/>
        <v>8.3274440694485952E-5</v>
      </c>
      <c r="F113" s="2">
        <f t="shared" si="5"/>
        <v>0.14066163457614883</v>
      </c>
      <c r="H113" s="2">
        <f>SUM(F$4:F113)</f>
        <v>213.65763209237599</v>
      </c>
      <c r="I113" s="5" t="s">
        <v>677</v>
      </c>
    </row>
    <row r="114" spans="1:9">
      <c r="A114" s="1" t="s">
        <v>152</v>
      </c>
      <c r="B114" s="17">
        <f t="shared" si="6"/>
        <v>1773.5900124122472</v>
      </c>
      <c r="D114" s="8">
        <f t="shared" si="7"/>
        <v>7.6398569444482517E-5</v>
      </c>
      <c r="F114" s="2">
        <f t="shared" si="5"/>
        <v>0.13549973972931767</v>
      </c>
      <c r="H114" s="2">
        <f>SUM(F$4:F114)</f>
        <v>213.7931318321053</v>
      </c>
      <c r="I114" s="5" t="s">
        <v>678</v>
      </c>
    </row>
    <row r="115" spans="1:9">
      <c r="A115" s="1" t="s">
        <v>153</v>
      </c>
      <c r="B115" s="17">
        <f t="shared" si="6"/>
        <v>1862.2695130328598</v>
      </c>
      <c r="D115" s="8">
        <f t="shared" si="7"/>
        <v>7.0090430683011472E-5</v>
      </c>
      <c r="F115" s="2">
        <f t="shared" si="5"/>
        <v>0.13052727221631519</v>
      </c>
      <c r="H115" s="2">
        <f>SUM(F$4:F115)</f>
        <v>213.92365910432162</v>
      </c>
      <c r="I115" s="5" t="s">
        <v>679</v>
      </c>
    </row>
    <row r="116" spans="1:9">
      <c r="A116" s="1" t="s">
        <v>154</v>
      </c>
      <c r="B116" s="17">
        <f t="shared" si="6"/>
        <v>1955.3829886845028</v>
      </c>
      <c r="D116" s="8">
        <f t="shared" si="7"/>
        <v>6.4303147415606846E-5</v>
      </c>
      <c r="F116" s="2">
        <f t="shared" si="5"/>
        <v>0.12573728057534947</v>
      </c>
      <c r="H116" s="2">
        <f>SUM(F$4:F116)</f>
        <v>214.04939638489697</v>
      </c>
      <c r="I116" s="5" t="s">
        <v>680</v>
      </c>
    </row>
    <row r="117" spans="1:9">
      <c r="A117" s="1" t="s">
        <v>155</v>
      </c>
      <c r="B117" s="17">
        <f t="shared" si="6"/>
        <v>2053.1521381187281</v>
      </c>
      <c r="D117" s="8">
        <f t="shared" si="7"/>
        <v>5.8993713225327379E-5</v>
      </c>
      <c r="F117" s="2">
        <f t="shared" si="5"/>
        <v>0.121123068444144</v>
      </c>
      <c r="H117" s="2">
        <f>SUM(F$4:F117)</f>
        <v>214.17051945334111</v>
      </c>
      <c r="I117" s="5" t="s">
        <v>681</v>
      </c>
    </row>
    <row r="118" spans="1:9">
      <c r="A118" s="1" t="s">
        <v>156</v>
      </c>
      <c r="B118" s="17">
        <f t="shared" si="6"/>
        <v>2155.8097450246646</v>
      </c>
      <c r="D118" s="8">
        <f t="shared" si="7"/>
        <v>5.4122672683786584E-5</v>
      </c>
      <c r="F118" s="2">
        <f t="shared" si="5"/>
        <v>0.11667818519848734</v>
      </c>
      <c r="H118" s="2">
        <f>SUM(F$4:F118)</f>
        <v>214.2871976385396</v>
      </c>
      <c r="I118" s="5" t="s">
        <v>682</v>
      </c>
    </row>
    <row r="119" spans="1:9">
      <c r="A119" s="1" t="s">
        <v>157</v>
      </c>
      <c r="B119" s="17">
        <f t="shared" si="6"/>
        <v>2263.6002322758977</v>
      </c>
      <c r="D119" s="8">
        <f t="shared" si="7"/>
        <v>4.9653828150262919E-5</v>
      </c>
      <c r="F119" s="2">
        <f t="shared" si="5"/>
        <v>0.11239641693432265</v>
      </c>
      <c r="H119" s="2">
        <f>SUM(F$4:F119)</f>
        <v>214.39959405547393</v>
      </c>
      <c r="I119" s="5" t="s">
        <v>683</v>
      </c>
    </row>
    <row r="120" spans="1:9">
      <c r="A120" s="1" t="s">
        <v>158</v>
      </c>
      <c r="B120" s="17">
        <f t="shared" si="6"/>
        <v>2376.7802438896929</v>
      </c>
      <c r="D120" s="8">
        <f t="shared" si="7"/>
        <v>4.5553970780057723E-5</v>
      </c>
      <c r="F120" s="2">
        <f t="shared" si="5"/>
        <v>0.10827177778076953</v>
      </c>
      <c r="H120" s="2">
        <f>SUM(F$4:F120)</f>
        <v>214.5078658332547</v>
      </c>
      <c r="I120" s="5" t="s">
        <v>684</v>
      </c>
    </row>
    <row r="121" spans="1:9">
      <c r="A121" s="1" t="s">
        <v>159</v>
      </c>
      <c r="B121" s="17">
        <f t="shared" si="6"/>
        <v>2495.6192560841778</v>
      </c>
      <c r="D121" s="8">
        <f t="shared" si="7"/>
        <v>4.1792633743172221E-5</v>
      </c>
      <c r="F121" s="2">
        <f t="shared" si="5"/>
        <v>0.10429850153193396</v>
      </c>
      <c r="H121" s="2">
        <f>SUM(F$4:F121)</f>
        <v>214.61216433478663</v>
      </c>
      <c r="I121" s="5" t="s">
        <v>685</v>
      </c>
    </row>
    <row r="122" spans="1:9">
      <c r="A122" s="1" t="s">
        <v>160</v>
      </c>
      <c r="B122" s="17">
        <f t="shared" si="6"/>
        <v>2620.4002188883869</v>
      </c>
      <c r="D122" s="8">
        <f t="shared" si="7"/>
        <v>3.8341865819424055E-5</v>
      </c>
      <c r="F122" s="2">
        <f t="shared" si="5"/>
        <v>0.10047103358580796</v>
      </c>
      <c r="H122" s="2">
        <f>SUM(F$4:F122)</f>
        <v>214.71263536837245</v>
      </c>
      <c r="I122" s="5" t="s">
        <v>686</v>
      </c>
    </row>
    <row r="123" spans="1:9">
      <c r="A123" s="1" t="s">
        <v>161</v>
      </c>
      <c r="B123" s="17">
        <f t="shared" si="6"/>
        <v>2751.4202298328064</v>
      </c>
      <c r="D123" s="8">
        <f t="shared" si="7"/>
        <v>3.5176023687545005E-5</v>
      </c>
      <c r="F123" s="2">
        <f t="shared" si="5"/>
        <v>9.678402317898932E-2</v>
      </c>
      <c r="H123" s="2">
        <f>SUM(F$4:F123)</f>
        <v>214.80941939155144</v>
      </c>
      <c r="I123" s="5" t="s">
        <v>687</v>
      </c>
    </row>
    <row r="124" spans="1:9">
      <c r="A124" s="1" t="s">
        <v>162</v>
      </c>
      <c r="B124" s="17">
        <f t="shared" si="6"/>
        <v>2888.9912413244469</v>
      </c>
      <c r="D124" s="8">
        <f t="shared" si="7"/>
        <v>3.2271581364720182E-5</v>
      </c>
      <c r="F124" s="2">
        <f t="shared" si="5"/>
        <v>9.3232315906365854E-2</v>
      </c>
      <c r="H124" s="2">
        <f>SUM(F$4:F124)</f>
        <v>214.90265170745781</v>
      </c>
      <c r="I124" s="5" t="s">
        <v>688</v>
      </c>
    </row>
    <row r="125" spans="1:9">
      <c r="A125" s="1" t="s">
        <v>163</v>
      </c>
      <c r="B125" s="17">
        <f t="shared" si="6"/>
        <v>3033.4408033906693</v>
      </c>
      <c r="D125" s="8">
        <f t="shared" si="7"/>
        <v>2.9606955380477228E-5</v>
      </c>
      <c r="F125" s="2">
        <f t="shared" si="5"/>
        <v>8.981094651530655E-2</v>
      </c>
      <c r="H125" s="2">
        <f>SUM(F$4:F125)</f>
        <v>214.99246265397312</v>
      </c>
      <c r="I125" s="5" t="s">
        <v>689</v>
      </c>
    </row>
    <row r="126" spans="1:9">
      <c r="A126" s="1" t="s">
        <v>164</v>
      </c>
      <c r="B126" s="17">
        <f t="shared" si="6"/>
        <v>3185.1128435602027</v>
      </c>
      <c r="D126" s="8">
        <f t="shared" si="7"/>
        <v>2.7162344385758922E-5</v>
      </c>
      <c r="F126" s="2">
        <f t="shared" si="5"/>
        <v>8.6515131964286104E-2</v>
      </c>
      <c r="H126" s="2">
        <f>SUM(F$4:F126)</f>
        <v>215.07897778593741</v>
      </c>
      <c r="I126" s="5" t="s">
        <v>690</v>
      </c>
    </row>
    <row r="127" spans="1:9">
      <c r="A127" s="1" t="s">
        <v>165</v>
      </c>
      <c r="B127" s="17">
        <f t="shared" si="6"/>
        <v>3344.3684857382132</v>
      </c>
      <c r="D127" s="8">
        <f t="shared" si="7"/>
        <v>2.4919582005283414E-5</v>
      </c>
      <c r="F127" s="2">
        <f t="shared" si="5"/>
        <v>8.3340264736238914E-2</v>
      </c>
      <c r="H127" s="2">
        <f>SUM(F$4:F127)</f>
        <v>215.16231805067366</v>
      </c>
      <c r="I127" s="5" t="s">
        <v>691</v>
      </c>
    </row>
    <row r="128" spans="1:9">
      <c r="A128" s="1" t="s">
        <v>166</v>
      </c>
      <c r="B128" s="17">
        <f t="shared" si="6"/>
        <v>3511.5869100251239</v>
      </c>
      <c r="D128" s="8">
        <f t="shared" si="7"/>
        <v>2.2862001839709553E-5</v>
      </c>
      <c r="F128" s="2">
        <f t="shared" si="5"/>
        <v>8.0281906397294364E-2</v>
      </c>
      <c r="H128" s="2">
        <f>SUM(F$4:F128)</f>
        <v>215.24259995707095</v>
      </c>
      <c r="I128" s="5" t="s">
        <v>692</v>
      </c>
    </row>
    <row r="129" spans="1:9">
      <c r="A129" s="1" t="s">
        <v>167</v>
      </c>
      <c r="B129" s="17">
        <f t="shared" si="6"/>
        <v>3687.1662555263802</v>
      </c>
      <c r="D129" s="8">
        <f t="shared" si="7"/>
        <v>2.0974313614412434E-5</v>
      </c>
      <c r="F129" s="2">
        <f t="shared" si="5"/>
        <v>7.7335781391889069E-2</v>
      </c>
      <c r="H129" s="2">
        <f>SUM(F$4:F129)</f>
        <v>215.31993573846285</v>
      </c>
      <c r="I129" s="5" t="s">
        <v>693</v>
      </c>
    </row>
    <row r="130" spans="1:9">
      <c r="A130" s="1" t="s">
        <v>168</v>
      </c>
      <c r="B130" s="17">
        <f t="shared" si="6"/>
        <v>3871.5245683026992</v>
      </c>
      <c r="D130" s="8">
        <f t="shared" si="7"/>
        <v>1.924248955450682E-5</v>
      </c>
      <c r="F130" s="2">
        <f t="shared" si="5"/>
        <v>7.4497771065581211E-2</v>
      </c>
      <c r="H130" s="2">
        <f>SUM(F$4:F130)</f>
        <v>215.39443350952843</v>
      </c>
      <c r="I130" s="5" t="s">
        <v>694</v>
      </c>
    </row>
    <row r="131" spans="1:9">
      <c r="A131" s="1" t="s">
        <v>169</v>
      </c>
      <c r="B131" s="17">
        <f t="shared" si="6"/>
        <v>4065.1007967178343</v>
      </c>
      <c r="D131" s="8">
        <f t="shared" si="7"/>
        <v>1.7653660141749375E-5</v>
      </c>
      <c r="F131" s="2">
        <f t="shared" si="5"/>
        <v>7.1763907907211266E-2</v>
      </c>
      <c r="H131" s="2">
        <f>SUM(F$4:F131)</f>
        <v>215.46619741743564</v>
      </c>
      <c r="I131" s="5" t="s">
        <v>695</v>
      </c>
    </row>
    <row r="132" spans="1:9">
      <c r="A132" s="1" t="s">
        <v>170</v>
      </c>
      <c r="B132" s="17">
        <f t="shared" si="6"/>
        <v>4268.3558365537265</v>
      </c>
      <c r="D132" s="8">
        <f t="shared" si="7"/>
        <v>1.6196018478669152E-5</v>
      </c>
      <c r="F132" s="2">
        <f t="shared" si="5"/>
        <v>6.9130370002359484E-2</v>
      </c>
      <c r="H132" s="2">
        <f>SUM(F$4:F132)</f>
        <v>215.53532778743801</v>
      </c>
      <c r="I132" s="5" t="s">
        <v>696</v>
      </c>
    </row>
    <row r="133" spans="1:9">
      <c r="A133" s="1" t="s">
        <v>171</v>
      </c>
      <c r="B133" s="17">
        <f t="shared" si="6"/>
        <v>4481.7736283814129</v>
      </c>
      <c r="D133" s="8">
        <f t="shared" si="7"/>
        <v>1.4858732549237754E-5</v>
      </c>
      <c r="F133" s="2">
        <f t="shared" si="5"/>
        <v>6.6593475690346293E-2</v>
      </c>
      <c r="H133" s="2">
        <f>SUM(F$4:F133)</f>
        <v>215.60192126312836</v>
      </c>
      <c r="I133" s="5" t="s">
        <v>697</v>
      </c>
    </row>
    <row r="134" spans="1:9">
      <c r="A134" s="1" t="s">
        <v>172</v>
      </c>
      <c r="B134" s="17">
        <f t="shared" si="6"/>
        <v>4705.8623098004837</v>
      </c>
      <c r="D134" s="8">
        <f t="shared" si="7"/>
        <v>1.3631864724071333E-5</v>
      </c>
      <c r="F134" s="2">
        <f t="shared" si="5"/>
        <v>6.4149678417306052E-2</v>
      </c>
      <c r="H134" s="2">
        <f>SUM(F$4:F134)</f>
        <v>215.66607094154566</v>
      </c>
      <c r="I134" s="5" t="s">
        <v>698</v>
      </c>
    </row>
    <row r="135" spans="1:9">
      <c r="A135" s="1" t="s">
        <v>173</v>
      </c>
      <c r="B135" s="17">
        <f t="shared" si="6"/>
        <v>4941.155425290508</v>
      </c>
      <c r="D135" s="8">
        <f t="shared" si="7"/>
        <v>1.2506297911992047E-5</v>
      </c>
      <c r="F135" s="2">
        <f t="shared" si="5"/>
        <v>6.1795561778138858E-2</v>
      </c>
      <c r="H135" s="2">
        <f>SUM(F$4:F135)</f>
        <v>215.72786650332378</v>
      </c>
      <c r="I135" s="5" t="s">
        <v>699</v>
      </c>
    </row>
    <row r="136" spans="1:9">
      <c r="A136" s="1" t="s">
        <v>174</v>
      </c>
      <c r="B136" s="17">
        <f t="shared" si="6"/>
        <v>5188.2131965550334</v>
      </c>
      <c r="D136" s="8">
        <f t="shared" si="7"/>
        <v>1.1473667809167015E-5</v>
      </c>
      <c r="F136" s="2">
        <f t="shared" si="5"/>
        <v>5.9527834740408986E-2</v>
      </c>
      <c r="H136" s="2">
        <f>SUM(F$4:F136)</f>
        <v>215.78739433806419</v>
      </c>
      <c r="I136" s="5" t="s">
        <v>700</v>
      </c>
    </row>
    <row r="137" spans="1:9">
      <c r="A137" s="1" t="s">
        <v>175</v>
      </c>
      <c r="B137" s="17">
        <f t="shared" si="6"/>
        <v>5447.6238563827856</v>
      </c>
      <c r="D137" s="8">
        <f t="shared" si="7"/>
        <v>1.0526300742355058E-5</v>
      </c>
      <c r="F137" s="2">
        <f t="shared" si="5"/>
        <v>5.7343327043513241E-2</v>
      </c>
      <c r="H137" s="2">
        <f>SUM(F$4:F137)</f>
        <v>215.84473766510771</v>
      </c>
      <c r="I137" s="5" t="s">
        <v>701</v>
      </c>
    </row>
    <row r="138" spans="1:9">
      <c r="A138" s="1" t="s">
        <v>176</v>
      </c>
      <c r="B138" s="17">
        <f t="shared" si="6"/>
        <v>5720.0050492019254</v>
      </c>
      <c r="D138" s="8">
        <f t="shared" si="7"/>
        <v>9.6571566443624381E-6</v>
      </c>
      <c r="F138" s="2">
        <f t="shared" si="5"/>
        <v>5.5238984766687066E-2</v>
      </c>
      <c r="H138" s="2">
        <f>SUM(F$4:F138)</f>
        <v>215.89997664987439</v>
      </c>
      <c r="I138" s="5" t="s">
        <v>702</v>
      </c>
    </row>
    <row r="139" spans="1:9">
      <c r="A139" s="1" t="s">
        <v>177</v>
      </c>
      <c r="B139" s="17">
        <f t="shared" si="6"/>
        <v>6006.0053016620222</v>
      </c>
      <c r="D139" s="8">
        <f t="shared" si="7"/>
        <v>8.8597767379471896E-6</v>
      </c>
      <c r="F139" s="2">
        <f t="shared" si="5"/>
        <v>5.3211866059652675E-2</v>
      </c>
      <c r="H139" s="2">
        <f>SUM(F$4:F139)</f>
        <v>215.95318851593404</v>
      </c>
      <c r="I139" s="5" t="s">
        <v>703</v>
      </c>
    </row>
    <row r="140" spans="1:9">
      <c r="A140" s="1" t="s">
        <v>178</v>
      </c>
      <c r="B140" s="17">
        <f t="shared" si="6"/>
        <v>6306.3055667451235</v>
      </c>
      <c r="D140" s="8">
        <f t="shared" si="7"/>
        <v>8.1282355394010911E-6</v>
      </c>
      <c r="F140" s="2">
        <f t="shared" si="5"/>
        <v>5.125913702994065E-2</v>
      </c>
      <c r="H140" s="2">
        <f>SUM(F$4:F140)</f>
        <v>216.00444765296399</v>
      </c>
      <c r="I140" s="5" t="s">
        <v>704</v>
      </c>
    </row>
    <row r="141" spans="1:9">
      <c r="A141" s="1" t="s">
        <v>179</v>
      </c>
      <c r="B141" s="17">
        <f t="shared" si="6"/>
        <v>6621.6208450823797</v>
      </c>
      <c r="D141" s="8">
        <f t="shared" si="7"/>
        <v>7.4570968251386152E-6</v>
      </c>
      <c r="F141" s="2">
        <f t="shared" si="5"/>
        <v>4.9378067781135487E-2</v>
      </c>
      <c r="H141" s="2">
        <f>SUM(F$4:F141)</f>
        <v>216.05382572074512</v>
      </c>
      <c r="I141" s="5" t="s">
        <v>705</v>
      </c>
    </row>
    <row r="142" spans="1:9">
      <c r="A142" s="1" t="s">
        <v>180</v>
      </c>
      <c r="B142" s="17">
        <f t="shared" si="6"/>
        <v>6952.7018873364987</v>
      </c>
      <c r="D142" s="8">
        <f t="shared" si="7"/>
        <v>6.8413732340721235E-6</v>
      </c>
      <c r="F142" s="2">
        <f t="shared" si="5"/>
        <v>4.756602859650666E-2</v>
      </c>
      <c r="H142" s="2">
        <f>SUM(F$4:F142)</f>
        <v>216.10139174934164</v>
      </c>
      <c r="I142" s="5" t="s">
        <v>706</v>
      </c>
    </row>
    <row r="143" spans="1:9">
      <c r="A143" s="1" t="s">
        <v>181</v>
      </c>
      <c r="B143" s="17">
        <f t="shared" si="6"/>
        <v>7300.3369817033235</v>
      </c>
      <c r="D143" s="8">
        <f t="shared" si="7"/>
        <v>6.276489205570755E-6</v>
      </c>
      <c r="F143" s="2">
        <f t="shared" si="5"/>
        <v>4.5820486262689898E-2</v>
      </c>
      <c r="H143" s="2">
        <f>SUM(F$4:F143)</f>
        <v>216.14721223560434</v>
      </c>
      <c r="I143" s="5" t="s">
        <v>707</v>
      </c>
    </row>
    <row r="144" spans="1:9">
      <c r="A144" s="1" t="s">
        <v>182</v>
      </c>
      <c r="B144" s="17">
        <f t="shared" si="6"/>
        <v>7665.3538307884901</v>
      </c>
      <c r="D144" s="8">
        <f t="shared" si="7"/>
        <v>5.7582469775878483E-6</v>
      </c>
      <c r="F144" s="2">
        <f t="shared" ref="F144:F207" si="8">B144*D144</f>
        <v>4.4139000528279258E-2</v>
      </c>
      <c r="H144" s="2">
        <f>SUM(F$4:F144)</f>
        <v>216.19135123613262</v>
      </c>
      <c r="I144" s="5" t="s">
        <v>708</v>
      </c>
    </row>
    <row r="145" spans="1:9">
      <c r="A145" s="1" t="s">
        <v>183</v>
      </c>
      <c r="B145" s="17">
        <f t="shared" ref="B145:B208" si="9">B144*(1+5%)</f>
        <v>8048.621522327915</v>
      </c>
      <c r="D145" s="8">
        <f t="shared" ref="D145:D208" si="10">D144/(1+9%)</f>
        <v>5.2827953922824294E-6</v>
      </c>
      <c r="F145" s="2">
        <f t="shared" si="8"/>
        <v>4.2519220692379102E-2</v>
      </c>
      <c r="H145" s="2">
        <f>SUM(F$4:F145)</f>
        <v>216.233870456825</v>
      </c>
      <c r="I145" s="5" t="s">
        <v>709</v>
      </c>
    </row>
    <row r="146" spans="1:9">
      <c r="A146" s="1" t="s">
        <v>184</v>
      </c>
      <c r="B146" s="17">
        <f t="shared" si="9"/>
        <v>8451.052598444312</v>
      </c>
      <c r="D146" s="8">
        <f t="shared" si="10"/>
        <v>4.8466012773233292E-6</v>
      </c>
      <c r="F146" s="2">
        <f t="shared" si="8"/>
        <v>4.0958882318346844E-2</v>
      </c>
      <c r="H146" s="2">
        <f>SUM(F$4:F146)</f>
        <v>216.27482933914334</v>
      </c>
      <c r="I146" s="5" t="s">
        <v>710</v>
      </c>
    </row>
    <row r="147" spans="1:9">
      <c r="A147" s="1" t="s">
        <v>185</v>
      </c>
      <c r="B147" s="17">
        <f t="shared" si="9"/>
        <v>8873.6052283665285</v>
      </c>
      <c r="D147" s="8">
        <f t="shared" si="10"/>
        <v>4.4464231902048888E-6</v>
      </c>
      <c r="F147" s="2">
        <f t="shared" si="8"/>
        <v>3.9455804068132282E-2</v>
      </c>
      <c r="H147" s="2">
        <f>SUM(F$4:F147)</f>
        <v>216.31428514321146</v>
      </c>
      <c r="I147" s="5" t="s">
        <v>711</v>
      </c>
    </row>
    <row r="148" spans="1:9">
      <c r="A148" s="1" t="s">
        <v>186</v>
      </c>
      <c r="B148" s="17">
        <f t="shared" si="9"/>
        <v>9317.2854897848556</v>
      </c>
      <c r="D148" s="8">
        <f t="shared" si="10"/>
        <v>4.0792873304632004E-6</v>
      </c>
      <c r="F148" s="2">
        <f t="shared" si="8"/>
        <v>3.8007884652787975E-2</v>
      </c>
      <c r="H148" s="2">
        <f>SUM(F$4:F148)</f>
        <v>216.35229302786425</v>
      </c>
      <c r="I148" s="5" t="s">
        <v>712</v>
      </c>
    </row>
    <row r="149" spans="1:9">
      <c r="A149" s="1" t="s">
        <v>187</v>
      </c>
      <c r="B149" s="17">
        <f t="shared" si="9"/>
        <v>9783.1497642740997</v>
      </c>
      <c r="D149" s="8">
        <f t="shared" si="10"/>
        <v>3.7424654407919268E-6</v>
      </c>
      <c r="F149" s="2">
        <f t="shared" si="8"/>
        <v>3.6613099894887501E-2</v>
      </c>
      <c r="H149" s="2">
        <f>SUM(F$4:F149)</f>
        <v>216.38890612775913</v>
      </c>
      <c r="I149" s="5" t="s">
        <v>713</v>
      </c>
    </row>
    <row r="150" spans="1:9">
      <c r="A150" s="1" t="s">
        <v>188</v>
      </c>
      <c r="B150" s="17">
        <f t="shared" si="9"/>
        <v>10272.307252487804</v>
      </c>
      <c r="D150" s="8">
        <f t="shared" si="10"/>
        <v>3.4334545328366297E-6</v>
      </c>
      <c r="F150" s="2">
        <f t="shared" si="8"/>
        <v>3.5269499898744838E-2</v>
      </c>
      <c r="H150" s="2">
        <f>SUM(F$4:F150)</f>
        <v>216.42417562765786</v>
      </c>
      <c r="I150" s="5" t="s">
        <v>714</v>
      </c>
    </row>
    <row r="151" spans="1:9">
      <c r="A151" s="1" t="s">
        <v>189</v>
      </c>
      <c r="B151" s="17">
        <f t="shared" si="9"/>
        <v>10785.922615112195</v>
      </c>
      <c r="D151" s="8">
        <f t="shared" si="10"/>
        <v>3.149958287006082E-6</v>
      </c>
      <c r="F151" s="2">
        <f t="shared" si="8"/>
        <v>3.3975206324478972E-2</v>
      </c>
      <c r="H151" s="2">
        <f>SUM(F$4:F151)</f>
        <v>216.45815083398233</v>
      </c>
      <c r="I151" s="5" t="s">
        <v>715</v>
      </c>
    </row>
    <row r="152" spans="1:9">
      <c r="A152" s="1" t="s">
        <v>190</v>
      </c>
      <c r="B152" s="17">
        <f t="shared" si="9"/>
        <v>11325.218745867805</v>
      </c>
      <c r="D152" s="8">
        <f t="shared" si="10"/>
        <v>2.889869988078974E-6</v>
      </c>
      <c r="F152" s="2">
        <f t="shared" si="8"/>
        <v>3.2728409762112769E-2</v>
      </c>
      <c r="H152" s="2">
        <f>SUM(F$4:F152)</f>
        <v>216.49087924374444</v>
      </c>
      <c r="I152" s="5" t="s">
        <v>716</v>
      </c>
    </row>
    <row r="153" spans="1:9">
      <c r="A153" s="1" t="s">
        <v>191</v>
      </c>
      <c r="B153" s="17">
        <f t="shared" si="9"/>
        <v>11891.479683161197</v>
      </c>
      <c r="D153" s="8">
        <f t="shared" si="10"/>
        <v>2.6512568697972237E-6</v>
      </c>
      <c r="F153" s="2">
        <f t="shared" si="8"/>
        <v>3.1527367202035236E-2</v>
      </c>
      <c r="H153" s="2">
        <f>SUM(F$4:F153)</f>
        <v>216.52240661094649</v>
      </c>
      <c r="I153" s="5" t="s">
        <v>717</v>
      </c>
    </row>
    <row r="154" spans="1:9">
      <c r="A154" s="1" t="s">
        <v>192</v>
      </c>
      <c r="B154" s="17">
        <f t="shared" si="9"/>
        <v>12486.053667319256</v>
      </c>
      <c r="D154" s="8">
        <f t="shared" si="10"/>
        <v>2.4323457521075443E-6</v>
      </c>
      <c r="F154" s="2">
        <f t="shared" si="8"/>
        <v>3.0370399598290819E-2</v>
      </c>
      <c r="H154" s="2">
        <f>SUM(F$4:F154)</f>
        <v>216.55277701054479</v>
      </c>
      <c r="I154" s="5" t="s">
        <v>718</v>
      </c>
    </row>
    <row r="155" spans="1:9">
      <c r="A155" s="1" t="s">
        <v>193</v>
      </c>
      <c r="B155" s="17">
        <f t="shared" si="9"/>
        <v>13110.356350685221</v>
      </c>
      <c r="D155" s="8">
        <f t="shared" si="10"/>
        <v>2.2315098643188477E-6</v>
      </c>
      <c r="F155" s="2">
        <f t="shared" si="8"/>
        <v>2.9255889521289321E-2</v>
      </c>
      <c r="H155" s="2">
        <f>SUM(F$4:F155)</f>
        <v>216.58203290006608</v>
      </c>
      <c r="I155" s="5" t="s">
        <v>719</v>
      </c>
    </row>
    <row r="156" spans="1:9">
      <c r="A156" s="1" t="s">
        <v>194</v>
      </c>
      <c r="B156" s="17">
        <f t="shared" si="9"/>
        <v>13765.874168219481</v>
      </c>
      <c r="D156" s="8">
        <f t="shared" si="10"/>
        <v>2.0472567562558236E-6</v>
      </c>
      <c r="F156" s="2">
        <f t="shared" si="8"/>
        <v>2.8182278896654849E-2</v>
      </c>
      <c r="H156" s="2">
        <f>SUM(F$4:F156)</f>
        <v>216.61021517896273</v>
      </c>
      <c r="I156" s="5" t="s">
        <v>720</v>
      </c>
    </row>
    <row r="157" spans="1:9">
      <c r="A157" s="1" t="s">
        <v>195</v>
      </c>
      <c r="B157" s="17">
        <f t="shared" si="9"/>
        <v>14454.167876630456</v>
      </c>
      <c r="D157" s="8">
        <f t="shared" si="10"/>
        <v>1.87821720757415E-6</v>
      </c>
      <c r="F157" s="2">
        <f t="shared" si="8"/>
        <v>2.7148066827052834E-2</v>
      </c>
      <c r="H157" s="2">
        <f>SUM(F$4:F157)</f>
        <v>216.6373632457898</v>
      </c>
      <c r="I157" s="5" t="s">
        <v>721</v>
      </c>
    </row>
    <row r="158" spans="1:9">
      <c r="A158" s="1" t="s">
        <v>196</v>
      </c>
      <c r="B158" s="17">
        <f t="shared" si="9"/>
        <v>15176.876270461978</v>
      </c>
      <c r="D158" s="8">
        <f t="shared" si="10"/>
        <v>1.7231350528203209E-6</v>
      </c>
      <c r="F158" s="2">
        <f t="shared" si="8"/>
        <v>2.6151807493949977E-2</v>
      </c>
      <c r="H158" s="2">
        <f>SUM(F$4:F158)</f>
        <v>216.66351505328376</v>
      </c>
      <c r="I158" s="5" t="s">
        <v>722</v>
      </c>
    </row>
    <row r="159" spans="1:9">
      <c r="A159" s="1" t="s">
        <v>197</v>
      </c>
      <c r="B159" s="17">
        <f t="shared" si="9"/>
        <v>15935.720083985078</v>
      </c>
      <c r="D159" s="8">
        <f t="shared" si="10"/>
        <v>1.5808578466241474E-6</v>
      </c>
      <c r="F159" s="2">
        <f t="shared" si="8"/>
        <v>2.5192108136373827E-2</v>
      </c>
      <c r="H159" s="2">
        <f>SUM(F$4:F159)</f>
        <v>216.68870716142013</v>
      </c>
      <c r="I159" s="5" t="s">
        <v>723</v>
      </c>
    </row>
    <row r="160" spans="1:9">
      <c r="A160" s="1" t="s">
        <v>198</v>
      </c>
      <c r="B160" s="17">
        <f t="shared" si="9"/>
        <v>16732.506088184331</v>
      </c>
      <c r="D160" s="8">
        <f t="shared" si="10"/>
        <v>1.450328299655181E-6</v>
      </c>
      <c r="F160" s="2">
        <f t="shared" si="8"/>
        <v>2.4267627103846345E-2</v>
      </c>
      <c r="H160" s="2">
        <f>SUM(F$4:F160)</f>
        <v>216.71297478852398</v>
      </c>
      <c r="I160" s="5" t="s">
        <v>724</v>
      </c>
    </row>
    <row r="161" spans="1:9">
      <c r="A161" s="1" t="s">
        <v>199</v>
      </c>
      <c r="B161" s="17">
        <f t="shared" si="9"/>
        <v>17569.13139259355</v>
      </c>
      <c r="D161" s="8">
        <f t="shared" si="10"/>
        <v>1.3305764217020009E-6</v>
      </c>
      <c r="F161" s="2">
        <f t="shared" si="8"/>
        <v>2.337707198076942E-2</v>
      </c>
      <c r="H161" s="2">
        <f>SUM(F$4:F161)</f>
        <v>216.73635186050475</v>
      </c>
      <c r="I161" s="5" t="s">
        <v>725</v>
      </c>
    </row>
    <row r="162" spans="1:9">
      <c r="A162" s="1" t="s">
        <v>200</v>
      </c>
      <c r="B162" s="17">
        <f t="shared" si="9"/>
        <v>18447.587962223228</v>
      </c>
      <c r="D162" s="8">
        <f t="shared" si="10"/>
        <v>1.2207123134880743E-6</v>
      </c>
      <c r="F162" s="2">
        <f t="shared" si="8"/>
        <v>2.2519197779640267E-2</v>
      </c>
      <c r="H162" s="2">
        <f>SUM(F$4:F162)</f>
        <v>216.7588710582844</v>
      </c>
      <c r="I162" s="5" t="s">
        <v>726</v>
      </c>
    </row>
    <row r="163" spans="1:9">
      <c r="A163" s="1" t="s">
        <v>201</v>
      </c>
      <c r="B163" s="17">
        <f t="shared" si="9"/>
        <v>19369.967360334391</v>
      </c>
      <c r="D163" s="8">
        <f t="shared" si="10"/>
        <v>1.1199195536587836E-6</v>
      </c>
      <c r="F163" s="2">
        <f t="shared" si="8"/>
        <v>2.1692805200570899E-2</v>
      </c>
      <c r="H163" s="2">
        <f>SUM(F$4:F163)</f>
        <v>216.78056386348496</v>
      </c>
      <c r="I163" s="5" t="s">
        <v>727</v>
      </c>
    </row>
    <row r="164" spans="1:9">
      <c r="A164" s="1" t="s">
        <v>202</v>
      </c>
      <c r="B164" s="17">
        <f t="shared" si="9"/>
        <v>20338.465728351111</v>
      </c>
      <c r="D164" s="8">
        <f t="shared" si="10"/>
        <v>1.027449131797049E-6</v>
      </c>
      <c r="F164" s="2">
        <f t="shared" si="8"/>
        <v>2.0896738954678386E-2</v>
      </c>
      <c r="H164" s="2">
        <f>SUM(F$4:F164)</f>
        <v>216.80146060243965</v>
      </c>
      <c r="I164" s="5" t="s">
        <v>728</v>
      </c>
    </row>
    <row r="165" spans="1:9">
      <c r="A165" s="1" t="s">
        <v>203</v>
      </c>
      <c r="B165" s="17">
        <f t="shared" si="9"/>
        <v>21355.389014768669</v>
      </c>
      <c r="D165" s="8">
        <f t="shared" si="10"/>
        <v>9.4261388238261372E-7</v>
      </c>
      <c r="F165" s="2">
        <f t="shared" si="8"/>
        <v>2.0129886149002116E-2</v>
      </c>
      <c r="H165" s="2">
        <f>SUM(F$4:F165)</f>
        <v>216.82159048858864</v>
      </c>
      <c r="I165" s="5" t="s">
        <v>729</v>
      </c>
    </row>
    <row r="166" spans="1:9">
      <c r="A166" s="1" t="s">
        <v>204</v>
      </c>
      <c r="B166" s="17">
        <f t="shared" si="9"/>
        <v>22423.158465507102</v>
      </c>
      <c r="D166" s="8">
        <f t="shared" si="10"/>
        <v>8.6478337833267305E-7</v>
      </c>
      <c r="F166" s="2">
        <f t="shared" si="8"/>
        <v>1.939117473069011E-2</v>
      </c>
      <c r="H166" s="2">
        <f>SUM(F$4:F166)</f>
        <v>216.84098166331933</v>
      </c>
      <c r="I166" s="5" t="s">
        <v>730</v>
      </c>
    </row>
    <row r="167" spans="1:9">
      <c r="A167" s="1" t="s">
        <v>205</v>
      </c>
      <c r="B167" s="17">
        <f t="shared" si="9"/>
        <v>23544.316388782459</v>
      </c>
      <c r="D167" s="8">
        <f t="shared" si="10"/>
        <v>7.9337924617676423E-7</v>
      </c>
      <c r="F167" s="2">
        <f t="shared" si="8"/>
        <v>1.8679571988279464E-2</v>
      </c>
      <c r="H167" s="2">
        <f>SUM(F$4:F167)</f>
        <v>216.85966123530761</v>
      </c>
      <c r="I167" s="5" t="s">
        <v>731</v>
      </c>
    </row>
    <row r="168" spans="1:9">
      <c r="A168" s="1" t="s">
        <v>206</v>
      </c>
      <c r="B168" s="17">
        <f t="shared" si="9"/>
        <v>24721.532208221583</v>
      </c>
      <c r="D168" s="8">
        <f t="shared" si="10"/>
        <v>7.2787086805207722E-7</v>
      </c>
      <c r="F168" s="2">
        <f t="shared" si="8"/>
        <v>1.7994083107975629E-2</v>
      </c>
      <c r="H168" s="2">
        <f>SUM(F$4:F168)</f>
        <v>216.87765531841558</v>
      </c>
      <c r="I168" s="5" t="s">
        <v>732</v>
      </c>
    </row>
    <row r="169" spans="1:9">
      <c r="A169" s="1" t="s">
        <v>207</v>
      </c>
      <c r="B169" s="17">
        <f t="shared" si="9"/>
        <v>25957.608818632663</v>
      </c>
      <c r="D169" s="8">
        <f t="shared" si="10"/>
        <v>6.6777143857988726E-7</v>
      </c>
      <c r="F169" s="2">
        <f t="shared" si="8"/>
        <v>1.73337497829123E-2</v>
      </c>
      <c r="H169" s="2">
        <f>SUM(F$4:F169)</f>
        <v>216.8949890681985</v>
      </c>
      <c r="I169" s="5" t="s">
        <v>733</v>
      </c>
    </row>
    <row r="170" spans="1:9">
      <c r="A170" s="1" t="s">
        <v>208</v>
      </c>
      <c r="B170" s="17">
        <f t="shared" si="9"/>
        <v>27255.489259564296</v>
      </c>
      <c r="D170" s="8">
        <f t="shared" si="10"/>
        <v>6.1263434732099748E-7</v>
      </c>
      <c r="F170" s="2">
        <f t="shared" si="8"/>
        <v>1.6697648873447629E-2</v>
      </c>
      <c r="H170" s="2">
        <f>SUM(F$4:F170)</f>
        <v>216.91168671707194</v>
      </c>
      <c r="I170" s="5" t="s">
        <v>734</v>
      </c>
    </row>
    <row r="171" spans="1:9">
      <c r="A171" s="1" t="s">
        <v>209</v>
      </c>
      <c r="B171" s="17">
        <f t="shared" si="9"/>
        <v>28618.263722542513</v>
      </c>
      <c r="D171" s="8">
        <f t="shared" si="10"/>
        <v>5.6204985992752056E-7</v>
      </c>
      <c r="F171" s="2">
        <f t="shared" si="8"/>
        <v>1.6084891116623864E-2</v>
      </c>
      <c r="H171" s="2">
        <f>SUM(F$4:F171)</f>
        <v>216.92777160818858</v>
      </c>
      <c r="I171" s="5" t="s">
        <v>735</v>
      </c>
    </row>
    <row r="172" spans="1:9">
      <c r="A172" s="1" t="s">
        <v>210</v>
      </c>
      <c r="B172" s="17">
        <f t="shared" si="9"/>
        <v>30049.17690866964</v>
      </c>
      <c r="D172" s="8">
        <f t="shared" si="10"/>
        <v>5.1564207332800052E-7</v>
      </c>
      <c r="F172" s="2">
        <f t="shared" si="8"/>
        <v>1.5494619882986291E-2</v>
      </c>
      <c r="H172" s="2">
        <f>SUM(F$4:F172)</f>
        <v>216.94326622807156</v>
      </c>
      <c r="I172" s="5" t="s">
        <v>736</v>
      </c>
    </row>
    <row r="173" spans="1:9">
      <c r="A173" s="1" t="s">
        <v>211</v>
      </c>
      <c r="B173" s="17">
        <f t="shared" si="9"/>
        <v>31551.635754103125</v>
      </c>
      <c r="D173" s="8">
        <f t="shared" si="10"/>
        <v>4.7306612231926652E-7</v>
      </c>
      <c r="F173" s="2">
        <f t="shared" si="8"/>
        <v>1.4926009979023491E-2</v>
      </c>
      <c r="H173" s="2">
        <f>SUM(F$4:F173)</f>
        <v>216.9581922380506</v>
      </c>
      <c r="I173" s="5" t="s">
        <v>737</v>
      </c>
    </row>
    <row r="174" spans="1:9">
      <c r="A174" s="1" t="s">
        <v>212</v>
      </c>
      <c r="B174" s="17">
        <f t="shared" si="9"/>
        <v>33129.217541808284</v>
      </c>
      <c r="D174" s="8">
        <f t="shared" si="10"/>
        <v>4.3400561680666652E-7</v>
      </c>
      <c r="F174" s="2">
        <f t="shared" si="8"/>
        <v>1.4378266493554741E-2</v>
      </c>
      <c r="H174" s="2">
        <f>SUM(F$4:F174)</f>
        <v>216.97257050454417</v>
      </c>
      <c r="I174" s="5" t="s">
        <v>738</v>
      </c>
    </row>
    <row r="175" spans="1:9">
      <c r="A175" s="1" t="s">
        <v>213</v>
      </c>
      <c r="B175" s="17">
        <f t="shared" si="9"/>
        <v>34785.6784188987</v>
      </c>
      <c r="D175" s="8">
        <f t="shared" si="10"/>
        <v>3.9817029064831787E-7</v>
      </c>
      <c r="F175" s="2">
        <f t="shared" si="8"/>
        <v>1.3850623686451813E-2</v>
      </c>
      <c r="H175" s="2">
        <f>SUM(F$4:F175)</f>
        <v>216.98642112823063</v>
      </c>
      <c r="I175" s="5" t="s">
        <v>739</v>
      </c>
    </row>
    <row r="176" spans="1:9">
      <c r="A176" s="1" t="s">
        <v>214</v>
      </c>
      <c r="B176" s="17">
        <f t="shared" si="9"/>
        <v>36524.962339843638</v>
      </c>
      <c r="D176" s="8">
        <f t="shared" si="10"/>
        <v>3.6529384463148427E-7</v>
      </c>
      <c r="F176" s="2">
        <f t="shared" si="8"/>
        <v>1.3342343918141656E-2</v>
      </c>
      <c r="H176" s="2">
        <f>SUM(F$4:F176)</f>
        <v>216.99976347214877</v>
      </c>
      <c r="I176" s="5" t="s">
        <v>740</v>
      </c>
    </row>
    <row r="177" spans="1:9">
      <c r="A177" s="1" t="s">
        <v>215</v>
      </c>
      <c r="B177" s="17">
        <f t="shared" si="9"/>
        <v>38351.210456835819</v>
      </c>
      <c r="D177" s="8">
        <f t="shared" si="10"/>
        <v>3.3513196755182042E-7</v>
      </c>
      <c r="F177" s="2">
        <f t="shared" si="8"/>
        <v>1.2852716618393338E-2</v>
      </c>
      <c r="H177" s="2">
        <f>SUM(F$4:F177)</f>
        <v>217.01261618876717</v>
      </c>
      <c r="I177" s="5" t="s">
        <v>741</v>
      </c>
    </row>
    <row r="178" spans="1:9">
      <c r="A178" s="1" t="s">
        <v>216</v>
      </c>
      <c r="B178" s="17">
        <f t="shared" si="9"/>
        <v>40268.770979677611</v>
      </c>
      <c r="D178" s="8">
        <f t="shared" si="10"/>
        <v>3.0746052068974349E-7</v>
      </c>
      <c r="F178" s="2">
        <f t="shared" si="8"/>
        <v>1.238105729294771E-2</v>
      </c>
      <c r="H178" s="2">
        <f>SUM(F$4:F178)</f>
        <v>217.02499724606011</v>
      </c>
      <c r="I178" s="5" t="s">
        <v>742</v>
      </c>
    </row>
    <row r="179" spans="1:9">
      <c r="A179" s="1" t="s">
        <v>217</v>
      </c>
      <c r="B179" s="17">
        <f t="shared" si="9"/>
        <v>42282.209528661493</v>
      </c>
      <c r="D179" s="8">
        <f t="shared" si="10"/>
        <v>2.8207387219242519E-7</v>
      </c>
      <c r="F179" s="2">
        <f t="shared" si="8"/>
        <v>1.1926706566601004E-2</v>
      </c>
      <c r="H179" s="2">
        <f>SUM(F$4:F179)</f>
        <v>217.03692395262672</v>
      </c>
      <c r="I179" s="5" t="s">
        <v>743</v>
      </c>
    </row>
    <row r="180" spans="1:9">
      <c r="A180" s="1" t="s">
        <v>218</v>
      </c>
      <c r="B180" s="17">
        <f t="shared" si="9"/>
        <v>44396.320005094567</v>
      </c>
      <c r="D180" s="8">
        <f t="shared" si="10"/>
        <v>2.5878336898387629E-7</v>
      </c>
      <c r="F180" s="2">
        <f t="shared" si="8"/>
        <v>1.1489029261404635E-2</v>
      </c>
      <c r="H180" s="2">
        <f>SUM(F$4:F180)</f>
        <v>217.04841298188813</v>
      </c>
      <c r="I180" s="5" t="s">
        <v>744</v>
      </c>
    </row>
    <row r="181" spans="1:9">
      <c r="A181" s="1" t="s">
        <v>219</v>
      </c>
      <c r="B181" s="17">
        <f t="shared" si="9"/>
        <v>46616.136005349297</v>
      </c>
      <c r="D181" s="8">
        <f t="shared" si="10"/>
        <v>2.374159348475929E-7</v>
      </c>
      <c r="F181" s="2">
        <f t="shared" si="8"/>
        <v>1.1067413508692538E-2</v>
      </c>
      <c r="H181" s="2">
        <f>SUM(F$4:F181)</f>
        <v>217.05948039539683</v>
      </c>
      <c r="I181" s="5" t="s">
        <v>745</v>
      </c>
    </row>
    <row r="182" spans="1:9">
      <c r="A182" s="1" t="s">
        <v>220</v>
      </c>
      <c r="B182" s="17">
        <f t="shared" si="9"/>
        <v>48946.942805616767</v>
      </c>
      <c r="D182" s="8">
        <f t="shared" si="10"/>
        <v>2.1781278426384669E-7</v>
      </c>
      <c r="F182" s="2">
        <f t="shared" si="8"/>
        <v>1.0661269893694647E-2</v>
      </c>
      <c r="H182" s="2">
        <f>SUM(F$4:F182)</f>
        <v>217.07014166529052</v>
      </c>
      <c r="I182" s="5" t="s">
        <v>746</v>
      </c>
    </row>
    <row r="183" spans="1:9">
      <c r="A183" s="1" t="s">
        <v>221</v>
      </c>
      <c r="B183" s="17">
        <f t="shared" si="9"/>
        <v>51394.28994589761</v>
      </c>
      <c r="D183" s="8">
        <f t="shared" si="10"/>
        <v>1.9982824244389602E-7</v>
      </c>
      <c r="F183" s="2">
        <f t="shared" si="8"/>
        <v>1.0270030631540715E-2</v>
      </c>
      <c r="H183" s="2">
        <f>SUM(F$4:F183)</f>
        <v>217.08041169592207</v>
      </c>
      <c r="I183" s="5" t="s">
        <v>747</v>
      </c>
    </row>
    <row r="184" spans="1:9">
      <c r="A184" s="1" t="s">
        <v>222</v>
      </c>
      <c r="B184" s="17">
        <f t="shared" si="9"/>
        <v>53964.004443192491</v>
      </c>
      <c r="D184" s="8">
        <f t="shared" si="10"/>
        <v>1.8332866279256513E-7</v>
      </c>
      <c r="F184" s="2">
        <f t="shared" si="8"/>
        <v>9.8931487735025234E-3</v>
      </c>
      <c r="H184" s="2">
        <f>SUM(F$4:F184)</f>
        <v>217.09030484469557</v>
      </c>
      <c r="I184" s="5" t="s">
        <v>748</v>
      </c>
    </row>
    <row r="185" spans="1:9">
      <c r="A185" s="1" t="s">
        <v>223</v>
      </c>
      <c r="B185" s="17">
        <f t="shared" si="9"/>
        <v>56662.204665352117</v>
      </c>
      <c r="D185" s="8">
        <f t="shared" si="10"/>
        <v>1.6819143375464689E-7</v>
      </c>
      <c r="F185" s="2">
        <f t="shared" si="8"/>
        <v>9.5300974423648144E-3</v>
      </c>
      <c r="H185" s="2">
        <f>SUM(F$4:F185)</f>
        <v>217.09983494213793</v>
      </c>
      <c r="I185" s="5" t="s">
        <v>749</v>
      </c>
    </row>
    <row r="186" spans="1:9">
      <c r="A186" s="1" t="s">
        <v>224</v>
      </c>
      <c r="B186" s="17">
        <f t="shared" si="9"/>
        <v>59495.314898619727</v>
      </c>
      <c r="D186" s="8">
        <f t="shared" si="10"/>
        <v>1.5430406766481364E-7</v>
      </c>
      <c r="F186" s="2">
        <f t="shared" si="8"/>
        <v>9.1803690958560131E-3</v>
      </c>
      <c r="H186" s="2">
        <f>SUM(F$4:F186)</f>
        <v>217.10901531123378</v>
      </c>
      <c r="I186" s="5" t="s">
        <v>750</v>
      </c>
    </row>
    <row r="187" spans="1:9">
      <c r="A187" s="1" t="s">
        <v>225</v>
      </c>
      <c r="B187" s="17">
        <f t="shared" si="9"/>
        <v>62470.080643550718</v>
      </c>
      <c r="D187" s="8">
        <f t="shared" si="10"/>
        <v>1.4156336483010426E-7</v>
      </c>
      <c r="F187" s="2">
        <f t="shared" si="8"/>
        <v>8.8434748171090042E-3</v>
      </c>
      <c r="H187" s="2">
        <f>SUM(F$4:F187)</f>
        <v>217.11785878605087</v>
      </c>
      <c r="I187" s="5" t="s">
        <v>751</v>
      </c>
    </row>
    <row r="188" spans="1:9">
      <c r="A188" s="1" t="s">
        <v>226</v>
      </c>
      <c r="B188" s="17">
        <f t="shared" si="9"/>
        <v>65593.584675728256</v>
      </c>
      <c r="D188" s="8">
        <f t="shared" si="10"/>
        <v>1.2987464663312317E-7</v>
      </c>
      <c r="F188" s="2">
        <f t="shared" si="8"/>
        <v>8.5189436311600506E-3</v>
      </c>
      <c r="H188" s="2">
        <f>SUM(F$4:F188)</f>
        <v>217.12637772968205</v>
      </c>
      <c r="I188" s="5" t="s">
        <v>752</v>
      </c>
    </row>
    <row r="189" spans="1:9">
      <c r="A189" s="1" t="s">
        <v>227</v>
      </c>
      <c r="B189" s="17">
        <f t="shared" si="9"/>
        <v>68873.263909514673</v>
      </c>
      <c r="D189" s="8">
        <f t="shared" si="10"/>
        <v>1.1915105195699372E-7</v>
      </c>
      <c r="F189" s="2">
        <f t="shared" si="8"/>
        <v>8.2063218465303241E-3</v>
      </c>
      <c r="H189" s="2">
        <f>SUM(F$4:F189)</f>
        <v>217.13458405152858</v>
      </c>
      <c r="I189" s="5" t="s">
        <v>753</v>
      </c>
    </row>
    <row r="190" spans="1:9">
      <c r="A190" s="1" t="s">
        <v>228</v>
      </c>
      <c r="B190" s="17">
        <f t="shared" si="9"/>
        <v>72316.927104990405</v>
      </c>
      <c r="D190" s="8">
        <f t="shared" si="10"/>
        <v>1.0931289170366396E-7</v>
      </c>
      <c r="F190" s="2">
        <f t="shared" si="8"/>
        <v>7.9051724209695771E-3</v>
      </c>
      <c r="H190" s="2">
        <f>SUM(F$4:F190)</f>
        <v>217.14248922394955</v>
      </c>
      <c r="I190" s="5" t="s">
        <v>754</v>
      </c>
    </row>
    <row r="191" spans="1:9">
      <c r="A191" s="1" t="s">
        <v>229</v>
      </c>
      <c r="B191" s="17">
        <f t="shared" si="9"/>
        <v>75932.773460239929</v>
      </c>
      <c r="D191" s="8">
        <f t="shared" si="10"/>
        <v>1.0028705660886602E-7</v>
      </c>
      <c r="F191" s="2">
        <f t="shared" si="8"/>
        <v>7.6150743504752811E-3</v>
      </c>
      <c r="H191" s="2">
        <f>SUM(F$4:F191)</f>
        <v>217.15010429830002</v>
      </c>
      <c r="I191" s="5" t="s">
        <v>755</v>
      </c>
    </row>
    <row r="192" spans="1:9">
      <c r="A192" s="1" t="s">
        <v>230</v>
      </c>
      <c r="B192" s="17">
        <f t="shared" si="9"/>
        <v>79729.412133251928</v>
      </c>
      <c r="D192" s="8">
        <f t="shared" si="10"/>
        <v>9.2006473953088082E-8</v>
      </c>
      <c r="F192" s="2">
        <f t="shared" si="8"/>
        <v>7.3356220807330686E-3</v>
      </c>
      <c r="H192" s="2">
        <f>SUM(F$4:F192)</f>
        <v>217.15743992038077</v>
      </c>
      <c r="I192" s="5" t="s">
        <v>756</v>
      </c>
    </row>
    <row r="193" spans="1:9">
      <c r="A193" s="1" t="s">
        <v>231</v>
      </c>
      <c r="B193" s="17">
        <f t="shared" si="9"/>
        <v>83715.882739914523</v>
      </c>
      <c r="D193" s="8">
        <f t="shared" si="10"/>
        <v>8.4409609131273468E-8</v>
      </c>
      <c r="F193" s="2">
        <f t="shared" si="8"/>
        <v>7.0664249401557076E-3</v>
      </c>
      <c r="H193" s="2">
        <f>SUM(F$4:F193)</f>
        <v>217.16450634532092</v>
      </c>
      <c r="I193" s="5" t="s">
        <v>757</v>
      </c>
    </row>
    <row r="194" spans="1:9">
      <c r="A194" s="1" t="s">
        <v>232</v>
      </c>
      <c r="B194" s="17">
        <f t="shared" si="9"/>
        <v>87901.676876910249</v>
      </c>
      <c r="D194" s="8">
        <f t="shared" si="10"/>
        <v>7.7440008377315101E-8</v>
      </c>
      <c r="F194" s="2">
        <f t="shared" si="8"/>
        <v>6.807106593727975E-3</v>
      </c>
      <c r="H194" s="2">
        <f>SUM(F$4:F194)</f>
        <v>217.17131345191464</v>
      </c>
      <c r="I194" s="5" t="s">
        <v>758</v>
      </c>
    </row>
    <row r="195" spans="1:9">
      <c r="A195" s="1" t="s">
        <v>233</v>
      </c>
      <c r="B195" s="17">
        <f t="shared" si="9"/>
        <v>92296.760720755759</v>
      </c>
      <c r="D195" s="8">
        <f t="shared" si="10"/>
        <v>7.1045879245243207E-8</v>
      </c>
      <c r="F195" s="2">
        <f t="shared" si="8"/>
        <v>6.5573045168939199E-3</v>
      </c>
      <c r="H195" s="2">
        <f>SUM(F$4:F195)</f>
        <v>217.17787075643153</v>
      </c>
      <c r="I195" s="5" t="s">
        <v>759</v>
      </c>
    </row>
    <row r="196" spans="1:9">
      <c r="A196" s="1" t="s">
        <v>234</v>
      </c>
      <c r="B196" s="17">
        <f t="shared" si="9"/>
        <v>96911.598756793552</v>
      </c>
      <c r="D196" s="8">
        <f t="shared" si="10"/>
        <v>6.5179705729580918E-8</v>
      </c>
      <c r="F196" s="2">
        <f t="shared" si="8"/>
        <v>6.3166694887510236E-3</v>
      </c>
      <c r="H196" s="2">
        <f>SUM(F$4:F196)</f>
        <v>217.18418742592027</v>
      </c>
      <c r="I196" s="5" t="s">
        <v>760</v>
      </c>
    </row>
    <row r="197" spans="1:9">
      <c r="A197" s="1" t="s">
        <v>235</v>
      </c>
      <c r="B197" s="17">
        <f t="shared" si="9"/>
        <v>101757.17869463323</v>
      </c>
      <c r="D197" s="8">
        <f t="shared" si="10"/>
        <v>5.979789516475313E-8</v>
      </c>
      <c r="F197" s="2">
        <f t="shared" si="8"/>
        <v>6.0848651038427288E-3</v>
      </c>
      <c r="H197" s="2">
        <f>SUM(F$4:F197)</f>
        <v>217.19027229102412</v>
      </c>
      <c r="I197" s="5" t="s">
        <v>761</v>
      </c>
    </row>
    <row r="198" spans="1:9">
      <c r="A198" s="1" t="s">
        <v>236</v>
      </c>
      <c r="B198" s="17">
        <f t="shared" si="9"/>
        <v>106845.03762936489</v>
      </c>
      <c r="D198" s="8">
        <f t="shared" si="10"/>
        <v>5.486045427959002E-8</v>
      </c>
      <c r="F198" s="2">
        <f t="shared" si="8"/>
        <v>5.8615673018668473E-3</v>
      </c>
      <c r="H198" s="2">
        <f>SUM(F$4:F198)</f>
        <v>217.19613385832599</v>
      </c>
      <c r="I198" s="5" t="s">
        <v>762</v>
      </c>
    </row>
    <row r="199" spans="1:9">
      <c r="A199" s="1" t="s">
        <v>237</v>
      </c>
      <c r="B199" s="17">
        <f t="shared" si="9"/>
        <v>112187.28951083314</v>
      </c>
      <c r="D199" s="8">
        <f t="shared" si="10"/>
        <v>5.0330691999623868E-8</v>
      </c>
      <c r="F199" s="2">
        <f t="shared" si="8"/>
        <v>5.6464639146423766E-3</v>
      </c>
      <c r="H199" s="2">
        <f>SUM(F$4:F199)</f>
        <v>217.20178032224064</v>
      </c>
      <c r="I199" s="5" t="s">
        <v>763</v>
      </c>
    </row>
    <row r="200" spans="1:9">
      <c r="A200" s="1" t="s">
        <v>238</v>
      </c>
      <c r="B200" s="17">
        <f t="shared" si="9"/>
        <v>117796.6539863748</v>
      </c>
      <c r="D200" s="8">
        <f t="shared" si="10"/>
        <v>4.6174946788645746E-8</v>
      </c>
      <c r="F200" s="2">
        <f t="shared" si="8"/>
        <v>5.4392542297013718E-3</v>
      </c>
      <c r="H200" s="2">
        <f>SUM(F$4:F200)</f>
        <v>217.20721957647035</v>
      </c>
      <c r="I200" s="5" t="s">
        <v>764</v>
      </c>
    </row>
    <row r="201" spans="1:9">
      <c r="A201" s="1" t="s">
        <v>239</v>
      </c>
      <c r="B201" s="17">
        <f t="shared" si="9"/>
        <v>123686.48668569356</v>
      </c>
      <c r="D201" s="8">
        <f t="shared" si="10"/>
        <v>4.2362336503344717E-8</v>
      </c>
      <c r="F201" s="2">
        <f t="shared" si="8"/>
        <v>5.2396485698958167E-3</v>
      </c>
      <c r="H201" s="2">
        <f>SUM(F$4:F201)</f>
        <v>217.21245922504025</v>
      </c>
      <c r="I201" s="5" t="s">
        <v>765</v>
      </c>
    </row>
    <row r="202" spans="1:9">
      <c r="A202" s="1" t="s">
        <v>240</v>
      </c>
      <c r="B202" s="17">
        <f t="shared" si="9"/>
        <v>129870.81101997824</v>
      </c>
      <c r="D202" s="8">
        <f t="shared" si="10"/>
        <v>3.8864528902151114E-8</v>
      </c>
      <c r="F202" s="2">
        <f t="shared" si="8"/>
        <v>5.0473678884317497E-3</v>
      </c>
      <c r="H202" s="2">
        <f>SUM(F$4:F202)</f>
        <v>217.21750659292869</v>
      </c>
      <c r="I202" s="5" t="s">
        <v>766</v>
      </c>
    </row>
    <row r="203" spans="1:9">
      <c r="A203" s="1" t="s">
        <v>241</v>
      </c>
      <c r="B203" s="17">
        <f t="shared" si="9"/>
        <v>136364.35157097716</v>
      </c>
      <c r="D203" s="8">
        <f t="shared" si="10"/>
        <v>3.565553110289093E-8</v>
      </c>
      <c r="F203" s="2">
        <f t="shared" si="8"/>
        <v>4.8621433787645295E-3</v>
      </c>
      <c r="H203" s="2">
        <f>SUM(F$4:F203)</f>
        <v>217.22236873630746</v>
      </c>
      <c r="I203" s="5" t="s">
        <v>767</v>
      </c>
    </row>
    <row r="204" spans="1:9">
      <c r="A204" s="1" t="s">
        <v>242</v>
      </c>
      <c r="B204" s="17">
        <f t="shared" si="9"/>
        <v>143182.56914952601</v>
      </c>
      <c r="D204" s="8">
        <f t="shared" si="10"/>
        <v>3.2711496424670576E-8</v>
      </c>
      <c r="F204" s="2">
        <f t="shared" si="8"/>
        <v>4.6837160988098675E-3</v>
      </c>
      <c r="H204" s="2">
        <f>SUM(F$4:F204)</f>
        <v>217.22705245240627</v>
      </c>
      <c r="I204" s="5" t="s">
        <v>768</v>
      </c>
    </row>
    <row r="205" spans="1:9">
      <c r="A205" s="1" t="s">
        <v>251</v>
      </c>
      <c r="B205" s="17">
        <f t="shared" si="9"/>
        <v>150341.69760700231</v>
      </c>
      <c r="D205" s="8">
        <f t="shared" si="10"/>
        <v>3.0010547178596858E-8</v>
      </c>
      <c r="F205" s="2">
        <f t="shared" si="8"/>
        <v>4.5118366089452848E-3</v>
      </c>
      <c r="H205" s="2">
        <f>SUM(F$4:F205)</f>
        <v>217.23156428901521</v>
      </c>
      <c r="I205" s="5" t="s">
        <v>769</v>
      </c>
    </row>
    <row r="206" spans="1:9">
      <c r="A206" s="1" t="s">
        <v>252</v>
      </c>
      <c r="B206" s="17">
        <f t="shared" si="9"/>
        <v>157858.78248735244</v>
      </c>
      <c r="D206" s="8">
        <f t="shared" si="10"/>
        <v>2.7532612090455831E-8</v>
      </c>
      <c r="F206" s="2">
        <f t="shared" si="8"/>
        <v>4.3462646232959165E-3</v>
      </c>
      <c r="H206" s="2">
        <f>SUM(F$4:F206)</f>
        <v>217.23591055363852</v>
      </c>
      <c r="I206" s="5" t="s">
        <v>770</v>
      </c>
    </row>
    <row r="207" spans="1:9">
      <c r="A207" s="1" t="s">
        <v>253</v>
      </c>
      <c r="B207" s="17">
        <f t="shared" si="9"/>
        <v>165751.72161172007</v>
      </c>
      <c r="D207" s="8">
        <f t="shared" si="10"/>
        <v>2.5259277147207183E-8</v>
      </c>
      <c r="F207" s="2">
        <f t="shared" si="8"/>
        <v>4.1867686738171674E-3</v>
      </c>
      <c r="H207" s="2">
        <f>SUM(F$4:F207)</f>
        <v>217.24009732231232</v>
      </c>
      <c r="I207" s="5" t="s">
        <v>771</v>
      </c>
    </row>
    <row r="208" spans="1:9">
      <c r="A208" s="1" t="s">
        <v>254</v>
      </c>
      <c r="B208" s="17">
        <f t="shared" si="9"/>
        <v>174039.30769230609</v>
      </c>
      <c r="D208" s="8">
        <f t="shared" si="10"/>
        <v>2.3173648758905671E-8</v>
      </c>
      <c r="F208" s="2">
        <f t="shared" ref="F208:F271" si="11">B208*D208</f>
        <v>4.0331257867046114E-3</v>
      </c>
      <c r="H208" s="2">
        <f>SUM(F$4:F208)</f>
        <v>217.24413044809901</v>
      </c>
      <c r="I208" s="5" t="s">
        <v>772</v>
      </c>
    </row>
    <row r="209" spans="1:9">
      <c r="A209" s="1" t="s">
        <v>255</v>
      </c>
      <c r="B209" s="17">
        <f t="shared" ref="B209:B272" si="12">B208*(1+5%)</f>
        <v>182741.27307692141</v>
      </c>
      <c r="D209" s="8">
        <f t="shared" ref="D209:D272" si="13">D208/(1+9%)</f>
        <v>2.1260228219179512E-8</v>
      </c>
      <c r="F209" s="2">
        <f t="shared" si="11"/>
        <v>3.8851211706787537E-3</v>
      </c>
      <c r="H209" s="2">
        <f>SUM(F$4:F209)</f>
        <v>217.24801556926968</v>
      </c>
      <c r="I209" s="5" t="s">
        <v>773</v>
      </c>
    </row>
    <row r="210" spans="1:9">
      <c r="A210" s="1" t="s">
        <v>256</v>
      </c>
      <c r="B210" s="17">
        <f t="shared" si="12"/>
        <v>191878.33673076748</v>
      </c>
      <c r="D210" s="8">
        <f t="shared" si="13"/>
        <v>1.950479653135735E-8</v>
      </c>
      <c r="F210" s="2">
        <f t="shared" si="11"/>
        <v>3.7425479167088912E-3</v>
      </c>
      <c r="H210" s="2">
        <f>SUM(F$4:F210)</f>
        <v>217.2517581171864</v>
      </c>
      <c r="I210" s="5" t="s">
        <v>774</v>
      </c>
    </row>
    <row r="211" spans="1:9">
      <c r="A211" s="1" t="s">
        <v>257</v>
      </c>
      <c r="B211" s="17">
        <f t="shared" si="12"/>
        <v>201472.25356730586</v>
      </c>
      <c r="D211" s="8">
        <f t="shared" si="13"/>
        <v>1.7894308744364541E-8</v>
      </c>
      <c r="F211" s="2">
        <f t="shared" si="11"/>
        <v>3.6052067087562712E-3</v>
      </c>
      <c r="H211" s="2">
        <f>SUM(F$4:F211)</f>
        <v>217.25536332389515</v>
      </c>
      <c r="I211" s="5" t="s">
        <v>775</v>
      </c>
    </row>
    <row r="212" spans="1:9">
      <c r="A212" s="1" t="s">
        <v>258</v>
      </c>
      <c r="B212" s="17">
        <f t="shared" si="12"/>
        <v>211545.86624567118</v>
      </c>
      <c r="D212" s="8">
        <f t="shared" si="13"/>
        <v>1.6416797013178475E-8</v>
      </c>
      <c r="F212" s="2">
        <f t="shared" si="11"/>
        <v>3.4729055451321877E-3</v>
      </c>
      <c r="H212" s="2">
        <f>SUM(F$4:F212)</f>
        <v>217.25883622944028</v>
      </c>
      <c r="I212" s="5" t="s">
        <v>776</v>
      </c>
    </row>
    <row r="213" spans="1:9">
      <c r="A213" s="1" t="s">
        <v>259</v>
      </c>
      <c r="B213" s="17">
        <f t="shared" si="12"/>
        <v>222123.15955795476</v>
      </c>
      <c r="D213" s="8">
        <f t="shared" si="13"/>
        <v>1.506128166346649E-8</v>
      </c>
      <c r="F213" s="2">
        <f t="shared" si="11"/>
        <v>3.3454594700814654E-3</v>
      </c>
      <c r="H213" s="2">
        <f>SUM(F$4:F213)</f>
        <v>217.26218168891035</v>
      </c>
      <c r="I213" s="5" t="s">
        <v>777</v>
      </c>
    </row>
    <row r="214" spans="1:9">
      <c r="A214" s="1" t="s">
        <v>260</v>
      </c>
      <c r="B214" s="17">
        <f t="shared" si="12"/>
        <v>233229.31753585252</v>
      </c>
      <c r="D214" s="8">
        <f t="shared" si="13"/>
        <v>1.3817689599510541E-8</v>
      </c>
      <c r="F214" s="2">
        <f t="shared" si="11"/>
        <v>3.2226903152160909E-3</v>
      </c>
      <c r="H214" s="2">
        <f>SUM(F$4:F214)</f>
        <v>217.26540437922557</v>
      </c>
      <c r="I214" s="5" t="s">
        <v>778</v>
      </c>
    </row>
    <row r="215" spans="1:9">
      <c r="A215" s="1" t="s">
        <v>261</v>
      </c>
      <c r="B215" s="17">
        <f t="shared" si="12"/>
        <v>244890.78341264516</v>
      </c>
      <c r="D215" s="8">
        <f t="shared" si="13"/>
        <v>1.2676779449092239E-8</v>
      </c>
      <c r="F215" s="2">
        <f t="shared" si="11"/>
        <v>3.1044264504375189E-3</v>
      </c>
      <c r="H215" s="2">
        <f>SUM(F$4:F215)</f>
        <v>217.26850880567602</v>
      </c>
      <c r="I215" s="5" t="s">
        <v>779</v>
      </c>
    </row>
    <row r="216" spans="1:9">
      <c r="A216" s="1" t="s">
        <v>262</v>
      </c>
      <c r="B216" s="17">
        <f t="shared" si="12"/>
        <v>257135.32258327742</v>
      </c>
      <c r="D216" s="8">
        <f t="shared" si="13"/>
        <v>1.1630072889075448E-8</v>
      </c>
      <c r="F216" s="2">
        <f t="shared" si="11"/>
        <v>2.9905025439994444E-3</v>
      </c>
      <c r="H216" s="2">
        <f>SUM(F$4:F216)</f>
        <v>217.27149930822003</v>
      </c>
      <c r="I216" s="5" t="s">
        <v>780</v>
      </c>
    </row>
    <row r="217" spans="1:9">
      <c r="A217" s="1" t="s">
        <v>263</v>
      </c>
      <c r="B217" s="17">
        <f t="shared" si="12"/>
        <v>269992.08871244133</v>
      </c>
      <c r="D217" s="8">
        <f t="shared" si="13"/>
        <v>1.0669791641353621E-8</v>
      </c>
      <c r="F217" s="2">
        <f t="shared" si="11"/>
        <v>2.8807593313756119E-3</v>
      </c>
      <c r="H217" s="2">
        <f>SUM(F$4:F217)</f>
        <v>217.27438006755139</v>
      </c>
      <c r="I217" s="5" t="s">
        <v>781</v>
      </c>
    </row>
    <row r="218" spans="1:9">
      <c r="A218" s="1" t="s">
        <v>264</v>
      </c>
      <c r="B218" s="17">
        <f t="shared" si="12"/>
        <v>283491.69314806338</v>
      </c>
      <c r="D218" s="8">
        <f t="shared" si="13"/>
        <v>9.7887996709666237E-9</v>
      </c>
      <c r="F218" s="2">
        <f t="shared" si="11"/>
        <v>2.7750433926095339E-3</v>
      </c>
      <c r="H218" s="2">
        <f>SUM(F$4:F218)</f>
        <v>217.27715511094399</v>
      </c>
      <c r="I218" s="5" t="s">
        <v>782</v>
      </c>
    </row>
    <row r="219" spans="1:9">
      <c r="A219" s="1" t="s">
        <v>265</v>
      </c>
      <c r="B219" s="17">
        <f t="shared" si="12"/>
        <v>297666.27780546655</v>
      </c>
      <c r="D219" s="8">
        <f t="shared" si="13"/>
        <v>8.9805501568501135E-9</v>
      </c>
      <c r="F219" s="2">
        <f t="shared" si="11"/>
        <v>2.6732069378348723E-3</v>
      </c>
      <c r="H219" s="2">
        <f>SUM(F$4:F219)</f>
        <v>217.27982831788182</v>
      </c>
      <c r="I219" s="5" t="s">
        <v>783</v>
      </c>
    </row>
    <row r="220" spans="1:9">
      <c r="A220" s="1" t="s">
        <v>266</v>
      </c>
      <c r="B220" s="17">
        <f t="shared" si="12"/>
        <v>312549.59169573989</v>
      </c>
      <c r="D220" s="8">
        <f t="shared" si="13"/>
        <v>8.2390368411468922E-9</v>
      </c>
      <c r="F220" s="2">
        <f t="shared" si="11"/>
        <v>2.5751076006666198E-3</v>
      </c>
      <c r="H220" s="2">
        <f>SUM(F$4:F220)</f>
        <v>217.2824034254825</v>
      </c>
      <c r="I220" s="5" t="s">
        <v>784</v>
      </c>
    </row>
    <row r="221" spans="1:9">
      <c r="A221" s="1" t="s">
        <v>267</v>
      </c>
      <c r="B221" s="17">
        <f t="shared" si="12"/>
        <v>328177.07128052687</v>
      </c>
      <c r="D221" s="8">
        <f t="shared" si="13"/>
        <v>7.5587493955476073E-9</v>
      </c>
      <c r="F221" s="2">
        <f t="shared" si="11"/>
        <v>2.4806082391742664E-3</v>
      </c>
      <c r="H221" s="2">
        <f>SUM(F$4:F221)</f>
        <v>217.28488403372168</v>
      </c>
      <c r="I221" s="5" t="s">
        <v>785</v>
      </c>
    </row>
    <row r="222" spans="1:9">
      <c r="A222" s="1" t="s">
        <v>268</v>
      </c>
      <c r="B222" s="17">
        <f t="shared" si="12"/>
        <v>344585.92484455323</v>
      </c>
      <c r="D222" s="8">
        <f t="shared" si="13"/>
        <v>6.9346324729794555E-9</v>
      </c>
      <c r="F222" s="2">
        <f t="shared" si="11"/>
        <v>2.3895767441586969E-3</v>
      </c>
      <c r="H222" s="2">
        <f>SUM(F$4:F222)</f>
        <v>217.28727361046583</v>
      </c>
      <c r="I222" s="5" t="s">
        <v>786</v>
      </c>
    </row>
    <row r="223" spans="1:9">
      <c r="A223" s="1" t="s">
        <v>269</v>
      </c>
      <c r="B223" s="17">
        <f t="shared" si="12"/>
        <v>361815.22108678089</v>
      </c>
      <c r="D223" s="8">
        <f t="shared" si="13"/>
        <v>6.3620481403481239E-9</v>
      </c>
      <c r="F223" s="2">
        <f t="shared" si="11"/>
        <v>2.3018858544647997E-3</v>
      </c>
      <c r="H223" s="2">
        <f>SUM(F$4:F223)</f>
        <v>217.28957549632031</v>
      </c>
      <c r="I223" s="5" t="s">
        <v>787</v>
      </c>
    </row>
    <row r="224" spans="1:9">
      <c r="A224" s="1" t="s">
        <v>270</v>
      </c>
      <c r="B224" s="17">
        <f t="shared" si="12"/>
        <v>379905.98214111995</v>
      </c>
      <c r="D224" s="8">
        <f t="shared" si="13"/>
        <v>5.8367414131634163E-9</v>
      </c>
      <c r="F224" s="2">
        <f t="shared" si="11"/>
        <v>2.2174129790715961E-3</v>
      </c>
      <c r="H224" s="2">
        <f>SUM(F$4:F224)</f>
        <v>217.29179290929937</v>
      </c>
      <c r="I224" s="5" t="s">
        <v>788</v>
      </c>
    </row>
    <row r="225" spans="1:9">
      <c r="A225" s="1" t="s">
        <v>271</v>
      </c>
      <c r="B225" s="17">
        <f t="shared" si="12"/>
        <v>398901.28124817595</v>
      </c>
      <c r="D225" s="8">
        <f t="shared" si="13"/>
        <v>5.3548086359297397E-9</v>
      </c>
      <c r="F225" s="2">
        <f t="shared" si="11"/>
        <v>2.1360400257111707E-3</v>
      </c>
      <c r="H225" s="2">
        <f>SUM(F$4:F225)</f>
        <v>217.29392894932508</v>
      </c>
      <c r="I225" s="5" t="s">
        <v>789</v>
      </c>
    </row>
    <row r="226" spans="1:9">
      <c r="A226" s="1" t="s">
        <v>272</v>
      </c>
      <c r="B226" s="17">
        <f t="shared" si="12"/>
        <v>418846.34531058476</v>
      </c>
      <c r="D226" s="8">
        <f t="shared" si="13"/>
        <v>4.9126684733300362E-9</v>
      </c>
      <c r="F226" s="2">
        <f t="shared" si="11"/>
        <v>2.0576532357768156E-3</v>
      </c>
      <c r="H226" s="2">
        <f>SUM(F$4:F226)</f>
        <v>217.29598660256084</v>
      </c>
      <c r="I226" s="5" t="s">
        <v>790</v>
      </c>
    </row>
    <row r="227" spans="1:9">
      <c r="A227" s="1" t="s">
        <v>273</v>
      </c>
      <c r="B227" s="17">
        <f t="shared" si="12"/>
        <v>439788.662576114</v>
      </c>
      <c r="D227" s="8">
        <f t="shared" si="13"/>
        <v>4.5070352966330605E-9</v>
      </c>
      <c r="F227" s="2">
        <f t="shared" si="11"/>
        <v>1.9821430252895929E-3</v>
      </c>
      <c r="H227" s="2">
        <f>SUM(F$4:F227)</f>
        <v>217.29796874558613</v>
      </c>
      <c r="I227" s="5" t="s">
        <v>791</v>
      </c>
    </row>
    <row r="228" spans="1:9">
      <c r="A228" s="1" t="s">
        <v>274</v>
      </c>
      <c r="B228" s="17">
        <f t="shared" si="12"/>
        <v>461778.09570491972</v>
      </c>
      <c r="D228" s="8">
        <f t="shared" si="13"/>
        <v>4.1348947675532663E-9</v>
      </c>
      <c r="F228" s="2">
        <f t="shared" si="11"/>
        <v>1.909403831700984E-3</v>
      </c>
      <c r="H228" s="2">
        <f>SUM(F$4:F228)</f>
        <v>217.29987814941782</v>
      </c>
      <c r="I228" s="5" t="s">
        <v>792</v>
      </c>
    </row>
    <row r="229" spans="1:9">
      <c r="A229" s="1" t="s">
        <v>275</v>
      </c>
      <c r="B229" s="17">
        <f t="shared" si="12"/>
        <v>484867.00049016572</v>
      </c>
      <c r="D229" s="8">
        <f t="shared" si="13"/>
        <v>3.7934814381222622E-9</v>
      </c>
      <c r="F229" s="2">
        <f t="shared" si="11"/>
        <v>1.8393339663174614E-3</v>
      </c>
      <c r="H229" s="2">
        <f>SUM(F$4:F229)</f>
        <v>217.30171748338415</v>
      </c>
      <c r="I229" s="5" t="s">
        <v>793</v>
      </c>
    </row>
    <row r="230" spans="1:9">
      <c r="A230" s="1" t="s">
        <v>276</v>
      </c>
      <c r="B230" s="17">
        <f t="shared" si="12"/>
        <v>509110.35051467404</v>
      </c>
      <c r="D230" s="8">
        <f t="shared" si="13"/>
        <v>3.4802582001121669E-9</v>
      </c>
      <c r="F230" s="2">
        <f t="shared" si="11"/>
        <v>1.7718354721406738E-3</v>
      </c>
      <c r="H230" s="2">
        <f>SUM(F$4:F230)</f>
        <v>217.30348931885629</v>
      </c>
      <c r="I230" s="5" t="s">
        <v>794</v>
      </c>
    </row>
    <row r="231" spans="1:9">
      <c r="A231" s="1" t="s">
        <v>277</v>
      </c>
      <c r="B231" s="17">
        <f t="shared" si="12"/>
        <v>534565.86804040777</v>
      </c>
      <c r="D231" s="8">
        <f t="shared" si="13"/>
        <v>3.1928974312955658E-9</v>
      </c>
      <c r="F231" s="2">
        <f t="shared" si="11"/>
        <v>1.7068139869245024E-3</v>
      </c>
      <c r="H231" s="2">
        <f>SUM(F$4:F231)</f>
        <v>217.30519613284321</v>
      </c>
      <c r="I231" s="5" t="s">
        <v>795</v>
      </c>
    </row>
    <row r="232" spans="1:9">
      <c r="A232" s="1" t="s">
        <v>278</v>
      </c>
      <c r="B232" s="17">
        <f t="shared" si="12"/>
        <v>561294.16144242825</v>
      </c>
      <c r="D232" s="8">
        <f t="shared" si="13"/>
        <v>2.9292636984362988E-9</v>
      </c>
      <c r="F232" s="2">
        <f t="shared" si="11"/>
        <v>1.6441786112575483E-3</v>
      </c>
      <c r="H232" s="2">
        <f>SUM(F$4:F232)</f>
        <v>217.30684031145447</v>
      </c>
      <c r="I232" s="5" t="s">
        <v>796</v>
      </c>
    </row>
    <row r="233" spans="1:9">
      <c r="A233" s="1" t="s">
        <v>279</v>
      </c>
      <c r="B233" s="17">
        <f t="shared" si="12"/>
        <v>589358.86951454973</v>
      </c>
      <c r="D233" s="8">
        <f t="shared" si="13"/>
        <v>2.6873978884736685E-9</v>
      </c>
      <c r="F233" s="2">
        <f t="shared" si="11"/>
        <v>1.5838417814866292E-3</v>
      </c>
      <c r="H233" s="2">
        <f>SUM(F$4:F233)</f>
        <v>217.30842415323596</v>
      </c>
      <c r="I233" s="5" t="s">
        <v>797</v>
      </c>
    </row>
    <row r="234" spans="1:9">
      <c r="A234" s="1" t="s">
        <v>280</v>
      </c>
      <c r="B234" s="17">
        <f t="shared" si="12"/>
        <v>618826.81299027719</v>
      </c>
      <c r="D234" s="8">
        <f t="shared" si="13"/>
        <v>2.4655026499758424E-9</v>
      </c>
      <c r="F234" s="2">
        <f t="shared" si="11"/>
        <v>1.5257191473036335E-3</v>
      </c>
      <c r="H234" s="2">
        <f>SUM(F$4:F234)</f>
        <v>217.30994987238327</v>
      </c>
      <c r="I234" s="5" t="s">
        <v>798</v>
      </c>
    </row>
    <row r="235" spans="1:9">
      <c r="A235" s="1" t="s">
        <v>281</v>
      </c>
      <c r="B235" s="17">
        <f t="shared" si="12"/>
        <v>649768.15363979107</v>
      </c>
      <c r="D235" s="8">
        <f t="shared" si="13"/>
        <v>2.2619290366750848E-9</v>
      </c>
      <c r="F235" s="2">
        <f t="shared" si="11"/>
        <v>1.4697294538246011E-3</v>
      </c>
      <c r="H235" s="2">
        <f>SUM(F$4:F235)</f>
        <v>217.31141960183709</v>
      </c>
      <c r="I235" s="5" t="s">
        <v>799</v>
      </c>
    </row>
    <row r="236" spans="1:9">
      <c r="A236" s="1" t="s">
        <v>282</v>
      </c>
      <c r="B236" s="17">
        <f t="shared" si="12"/>
        <v>682256.56132178067</v>
      </c>
      <c r="D236" s="8">
        <f t="shared" si="13"/>
        <v>2.0751642538303527E-9</v>
      </c>
      <c r="F236" s="2">
        <f t="shared" si="11"/>
        <v>1.4157944279961753E-3</v>
      </c>
      <c r="H236" s="2">
        <f>SUM(F$4:F236)</f>
        <v>217.31283539626509</v>
      </c>
      <c r="I236" s="5" t="s">
        <v>800</v>
      </c>
    </row>
    <row r="237" spans="1:9">
      <c r="A237" s="1" t="s">
        <v>283</v>
      </c>
      <c r="B237" s="17">
        <f t="shared" si="12"/>
        <v>716369.38938786974</v>
      </c>
      <c r="D237" s="8">
        <f t="shared" si="13"/>
        <v>1.9038204163581214E-9</v>
      </c>
      <c r="F237" s="2">
        <f t="shared" si="11"/>
        <v>1.3638386691706274E-3</v>
      </c>
      <c r="H237" s="2">
        <f>SUM(F$4:F237)</f>
        <v>217.31419923493425</v>
      </c>
      <c r="I237" s="5" t="s">
        <v>801</v>
      </c>
    </row>
    <row r="238" spans="1:9">
      <c r="A238" s="1" t="s">
        <v>284</v>
      </c>
      <c r="B238" s="17">
        <f t="shared" si="12"/>
        <v>752187.85885726323</v>
      </c>
      <c r="D238" s="8">
        <f t="shared" si="13"/>
        <v>1.7466242351909369E-9</v>
      </c>
      <c r="F238" s="2">
        <f t="shared" si="11"/>
        <v>1.3137895436964757E-3</v>
      </c>
      <c r="H238" s="2">
        <f>SUM(F$4:F238)</f>
        <v>217.31551302447795</v>
      </c>
      <c r="I238" s="5" t="s">
        <v>802</v>
      </c>
    </row>
    <row r="239" spans="1:9">
      <c r="A239" s="1" t="s">
        <v>285</v>
      </c>
      <c r="B239" s="17">
        <f t="shared" si="12"/>
        <v>789797.2518001264</v>
      </c>
      <c r="D239" s="8">
        <f t="shared" si="13"/>
        <v>1.6024075552210429E-9</v>
      </c>
      <c r="F239" s="2">
        <f t="shared" si="11"/>
        <v>1.265577083377339E-3</v>
      </c>
      <c r="H239" s="2">
        <f>SUM(F$4:F239)</f>
        <v>217.31677860156134</v>
      </c>
      <c r="I239" s="5" t="s">
        <v>803</v>
      </c>
    </row>
    <row r="240" spans="1:9">
      <c r="A240" s="1" t="s">
        <v>286</v>
      </c>
      <c r="B240" s="17">
        <f t="shared" si="12"/>
        <v>829287.11439013272</v>
      </c>
      <c r="D240" s="8">
        <f t="shared" si="13"/>
        <v>1.4700986745147183E-9</v>
      </c>
      <c r="F240" s="2">
        <f t="shared" si="11"/>
        <v>1.2191338876570697E-3</v>
      </c>
      <c r="H240" s="2">
        <f>SUM(F$4:F240)</f>
        <v>217.31799773544898</v>
      </c>
      <c r="I240" s="5" t="s">
        <v>804</v>
      </c>
    </row>
    <row r="241" spans="1:9">
      <c r="A241" s="1" t="s">
        <v>287</v>
      </c>
      <c r="B241" s="17">
        <f t="shared" si="12"/>
        <v>870751.47010963934</v>
      </c>
      <c r="D241" s="8">
        <f t="shared" si="13"/>
        <v>1.3487143802887322E-9</v>
      </c>
      <c r="F241" s="2">
        <f t="shared" si="11"/>
        <v>1.1743950293944248E-3</v>
      </c>
      <c r="H241" s="2">
        <f>SUM(F$4:F241)</f>
        <v>217.31917213047836</v>
      </c>
      <c r="I241" s="5" t="s">
        <v>805</v>
      </c>
    </row>
    <row r="242" spans="1:9">
      <c r="A242" s="1" t="s">
        <v>288</v>
      </c>
      <c r="B242" s="17">
        <f t="shared" si="12"/>
        <v>914289.04361512139</v>
      </c>
      <c r="D242" s="8">
        <f t="shared" si="13"/>
        <v>1.2373526424667267E-9</v>
      </c>
      <c r="F242" s="2">
        <f t="shared" si="11"/>
        <v>1.1312979640955467E-3</v>
      </c>
      <c r="H242" s="2">
        <f>SUM(F$4:F242)</f>
        <v>217.32030342844246</v>
      </c>
      <c r="I242" s="5" t="s">
        <v>806</v>
      </c>
    </row>
    <row r="243" spans="1:9">
      <c r="A243" s="1" t="s">
        <v>289</v>
      </c>
      <c r="B243" s="17">
        <f t="shared" si="12"/>
        <v>960003.49579587753</v>
      </c>
      <c r="D243" s="8">
        <f t="shared" si="13"/>
        <v>1.1351859105199327E-9</v>
      </c>
      <c r="F243" s="2">
        <f t="shared" si="11"/>
        <v>1.0897824424773617E-3</v>
      </c>
      <c r="H243" s="2">
        <f>SUM(F$4:F243)</f>
        <v>217.32139321088493</v>
      </c>
      <c r="I243" s="5" t="s">
        <v>807</v>
      </c>
    </row>
    <row r="244" spans="1:9">
      <c r="A244" s="1" t="s">
        <v>290</v>
      </c>
      <c r="B244" s="17">
        <f t="shared" si="12"/>
        <v>1008003.6705856714</v>
      </c>
      <c r="D244" s="8">
        <f t="shared" si="13"/>
        <v>1.0414549637797548E-9</v>
      </c>
      <c r="F244" s="2">
        <f t="shared" si="11"/>
        <v>1.0497904262396604E-3</v>
      </c>
      <c r="H244" s="2">
        <f>SUM(F$4:F244)</f>
        <v>217.32244300131117</v>
      </c>
      <c r="I244" s="5" t="s">
        <v>808</v>
      </c>
    </row>
    <row r="245" spans="1:9">
      <c r="A245" s="1" t="s">
        <v>291</v>
      </c>
      <c r="B245" s="17">
        <f t="shared" si="12"/>
        <v>1058403.8541149551</v>
      </c>
      <c r="D245" s="8">
        <f t="shared" si="13"/>
        <v>9.5546326952271081E-10</v>
      </c>
      <c r="F245" s="2">
        <f t="shared" si="11"/>
        <v>1.0112660069281133E-3</v>
      </c>
      <c r="H245" s="2">
        <f>SUM(F$4:F245)</f>
        <v>217.32345426731811</v>
      </c>
      <c r="I245" s="5" t="s">
        <v>809</v>
      </c>
    </row>
    <row r="246" spans="1:9">
      <c r="A246" s="1" t="s">
        <v>292</v>
      </c>
      <c r="B246" s="17">
        <f t="shared" si="12"/>
        <v>1111324.046820703</v>
      </c>
      <c r="D246" s="8">
        <f t="shared" si="13"/>
        <v>8.7657180690156951E-10</v>
      </c>
      <c r="F246" s="2">
        <f t="shared" si="11"/>
        <v>9.7415532777478798E-4</v>
      </c>
      <c r="H246" s="2">
        <f>SUM(F$4:F246)</f>
        <v>217.32442842264589</v>
      </c>
      <c r="I246" s="5" t="s">
        <v>810</v>
      </c>
    </row>
    <row r="247" spans="1:9">
      <c r="A247" s="1" t="s">
        <v>293</v>
      </c>
      <c r="B247" s="17">
        <f t="shared" si="12"/>
        <v>1166890.2491617382</v>
      </c>
      <c r="D247" s="8">
        <f t="shared" si="13"/>
        <v>8.0419431825832056E-10</v>
      </c>
      <c r="F247" s="2">
        <f t="shared" si="11"/>
        <v>9.384065084069059E-4</v>
      </c>
      <c r="H247" s="2">
        <f>SUM(F$4:F247)</f>
        <v>217.32536682915429</v>
      </c>
      <c r="I247" s="5" t="s">
        <v>811</v>
      </c>
    </row>
    <row r="248" spans="1:9">
      <c r="A248" s="1" t="s">
        <v>294</v>
      </c>
      <c r="B248" s="17">
        <f t="shared" si="12"/>
        <v>1225234.7616198251</v>
      </c>
      <c r="D248" s="8">
        <f t="shared" si="13"/>
        <v>7.3779295253056925E-10</v>
      </c>
      <c r="F248" s="2">
        <f t="shared" si="11"/>
        <v>9.0396957231857894E-4</v>
      </c>
      <c r="H248" s="2">
        <f>SUM(F$4:F248)</f>
        <v>217.3262707987266</v>
      </c>
      <c r="I248" s="5" t="s">
        <v>812</v>
      </c>
    </row>
    <row r="249" spans="1:9">
      <c r="A249" s="1" t="s">
        <v>295</v>
      </c>
      <c r="B249" s="17">
        <f t="shared" si="12"/>
        <v>1286496.4997008163</v>
      </c>
      <c r="D249" s="8">
        <f t="shared" si="13"/>
        <v>6.7687426837666896E-10</v>
      </c>
      <c r="F249" s="2">
        <f t="shared" si="11"/>
        <v>8.7079637700413555E-4</v>
      </c>
      <c r="H249" s="2">
        <f>SUM(F$4:F249)</f>
        <v>217.3271415951036</v>
      </c>
      <c r="I249" s="5" t="s">
        <v>813</v>
      </c>
    </row>
    <row r="250" spans="1:9">
      <c r="A250" s="1" t="s">
        <v>296</v>
      </c>
      <c r="B250" s="17">
        <f t="shared" si="12"/>
        <v>1350821.3246858572</v>
      </c>
      <c r="D250" s="8">
        <f t="shared" si="13"/>
        <v>6.2098556731804487E-10</v>
      </c>
      <c r="F250" s="2">
        <f t="shared" si="11"/>
        <v>8.3884054665535985E-4</v>
      </c>
      <c r="H250" s="2">
        <f>SUM(F$4:F250)</f>
        <v>217.32798043565026</v>
      </c>
      <c r="I250" s="5" t="s">
        <v>814</v>
      </c>
    </row>
    <row r="251" spans="1:9">
      <c r="A251" s="1" t="s">
        <v>297</v>
      </c>
      <c r="B251" s="17">
        <f t="shared" si="12"/>
        <v>1418362.3909201501</v>
      </c>
      <c r="D251" s="8">
        <f t="shared" si="13"/>
        <v>5.6971152964958239E-10</v>
      </c>
      <c r="F251" s="2">
        <f t="shared" si="11"/>
        <v>8.0805740732855765E-4</v>
      </c>
      <c r="H251" s="2">
        <f>SUM(F$4:F251)</f>
        <v>217.3287884930576</v>
      </c>
      <c r="I251" s="5" t="s">
        <v>815</v>
      </c>
    </row>
    <row r="252" spans="1:9">
      <c r="A252" s="1" t="s">
        <v>298</v>
      </c>
      <c r="B252" s="17">
        <f t="shared" si="12"/>
        <v>1489280.5104661577</v>
      </c>
      <c r="D252" s="8">
        <f t="shared" si="13"/>
        <v>5.2267112811888291E-10</v>
      </c>
      <c r="F252" s="2">
        <f t="shared" si="11"/>
        <v>7.7840392449081246E-4</v>
      </c>
      <c r="H252" s="2">
        <f>SUM(F$4:F252)</f>
        <v>217.3295668969821</v>
      </c>
      <c r="I252" s="5" t="s">
        <v>816</v>
      </c>
    </row>
    <row r="253" spans="1:9">
      <c r="A253" s="1" t="s">
        <v>299</v>
      </c>
      <c r="B253" s="17">
        <f t="shared" si="12"/>
        <v>1563744.5359894657</v>
      </c>
      <c r="D253" s="8">
        <f t="shared" si="13"/>
        <v>4.7951479643934213E-10</v>
      </c>
      <c r="F253" s="2">
        <f t="shared" si="11"/>
        <v>7.4983864285812216E-4</v>
      </c>
      <c r="H253" s="2">
        <f>SUM(F$4:F253)</f>
        <v>217.33031673562496</v>
      </c>
      <c r="I253" s="5" t="s">
        <v>817</v>
      </c>
    </row>
    <row r="254" spans="1:9">
      <c r="A254" s="1" t="s">
        <v>300</v>
      </c>
      <c r="B254" s="17">
        <f t="shared" si="12"/>
        <v>1641931.7627889391</v>
      </c>
      <c r="D254" s="8">
        <f t="shared" si="13"/>
        <v>4.3992183159572668E-10</v>
      </c>
      <c r="F254" s="2">
        <f t="shared" si="11"/>
        <v>7.2232162844131033E-4</v>
      </c>
      <c r="H254" s="2">
        <f>SUM(F$4:F254)</f>
        <v>217.33103905725341</v>
      </c>
      <c r="I254" s="5" t="s">
        <v>818</v>
      </c>
    </row>
    <row r="255" spans="1:9">
      <c r="A255" s="1" t="s">
        <v>301</v>
      </c>
      <c r="B255" s="17">
        <f t="shared" si="12"/>
        <v>1724028.350928386</v>
      </c>
      <c r="D255" s="8">
        <f t="shared" si="13"/>
        <v>4.0359801063828131E-10</v>
      </c>
      <c r="F255" s="2">
        <f t="shared" si="11"/>
        <v>6.9581441271869332E-4</v>
      </c>
      <c r="H255" s="2">
        <f>SUM(F$4:F255)</f>
        <v>217.33173487166613</v>
      </c>
      <c r="I255" s="5" t="s">
        <v>819</v>
      </c>
    </row>
    <row r="256" spans="1:9">
      <c r="A256" s="1" t="s">
        <v>302</v>
      </c>
      <c r="B256" s="17">
        <f t="shared" si="12"/>
        <v>1810229.7684748054</v>
      </c>
      <c r="D256" s="8">
        <f t="shared" si="13"/>
        <v>3.7027340425530395E-10</v>
      </c>
      <c r="F256" s="2">
        <f t="shared" si="11"/>
        <v>6.7027993885745692E-4</v>
      </c>
      <c r="H256" s="2">
        <f>SUM(F$4:F256)</f>
        <v>217.33240515160497</v>
      </c>
      <c r="I256" s="5" t="s">
        <v>820</v>
      </c>
    </row>
    <row r="257" spans="1:9">
      <c r="A257" s="1" t="s">
        <v>303</v>
      </c>
      <c r="B257" s="17">
        <f t="shared" si="12"/>
        <v>1900741.2568985457</v>
      </c>
      <c r="D257" s="8">
        <f t="shared" si="13"/>
        <v>3.3970037087642564E-10</v>
      </c>
      <c r="F257" s="2">
        <f t="shared" si="11"/>
        <v>6.4568250990855935E-4</v>
      </c>
      <c r="H257" s="2">
        <f>SUM(F$4:F257)</f>
        <v>217.33305083411489</v>
      </c>
      <c r="I257" s="5" t="s">
        <v>821</v>
      </c>
    </row>
    <row r="258" spans="1:9">
      <c r="A258" s="1" t="s">
        <v>304</v>
      </c>
      <c r="B258" s="17">
        <f t="shared" si="12"/>
        <v>1995778.3197434731</v>
      </c>
      <c r="D258" s="8">
        <f t="shared" si="13"/>
        <v>3.1165171640039046E-10</v>
      </c>
      <c r="F258" s="2">
        <f t="shared" si="11"/>
        <v>6.219877389027407E-4</v>
      </c>
      <c r="H258" s="2">
        <f>SUM(F$4:F258)</f>
        <v>217.33367282185378</v>
      </c>
      <c r="I258" s="5" t="s">
        <v>822</v>
      </c>
    </row>
    <row r="259" spans="1:9">
      <c r="A259" s="1" t="s">
        <v>305</v>
      </c>
      <c r="B259" s="17">
        <f t="shared" si="12"/>
        <v>2095567.2357306469</v>
      </c>
      <c r="D259" s="8">
        <f t="shared" si="13"/>
        <v>2.8591900587191784E-10</v>
      </c>
      <c r="F259" s="2">
        <f t="shared" si="11"/>
        <v>5.9916250077786946E-4</v>
      </c>
      <c r="H259" s="2">
        <f>SUM(F$4:F259)</f>
        <v>217.33427198435456</v>
      </c>
      <c r="I259" s="5" t="s">
        <v>823</v>
      </c>
    </row>
    <row r="260" spans="1:9">
      <c r="A260" s="1" t="s">
        <v>306</v>
      </c>
      <c r="B260" s="17">
        <f t="shared" si="12"/>
        <v>2200345.5975171793</v>
      </c>
      <c r="D260" s="8">
        <f t="shared" si="13"/>
        <v>2.6231101456139252E-10</v>
      </c>
      <c r="F260" s="2">
        <f t="shared" si="11"/>
        <v>5.7717488607042478E-4</v>
      </c>
      <c r="H260" s="2">
        <f>SUM(F$4:F260)</f>
        <v>217.33484915924063</v>
      </c>
      <c r="I260" s="5" t="s">
        <v>824</v>
      </c>
    </row>
    <row r="261" spans="1:9">
      <c r="A261" s="1" t="s">
        <v>307</v>
      </c>
      <c r="B261" s="17">
        <f t="shared" si="12"/>
        <v>2310362.8773930385</v>
      </c>
      <c r="D261" s="8">
        <f t="shared" si="13"/>
        <v>2.4065230693705736E-10</v>
      </c>
      <c r="F261" s="2">
        <f t="shared" si="11"/>
        <v>5.5599415630637255E-4</v>
      </c>
      <c r="H261" s="2">
        <f>SUM(F$4:F261)</f>
        <v>217.33540515339695</v>
      </c>
      <c r="I261" s="5" t="s">
        <v>825</v>
      </c>
    </row>
    <row r="262" spans="1:9">
      <c r="A262" s="1" t="s">
        <v>308</v>
      </c>
      <c r="B262" s="17">
        <f t="shared" si="12"/>
        <v>2425881.0212626904</v>
      </c>
      <c r="D262" s="8">
        <f t="shared" si="13"/>
        <v>2.2078193296977736E-10</v>
      </c>
      <c r="F262" s="2">
        <f t="shared" si="11"/>
        <v>5.3559070102907438E-4</v>
      </c>
      <c r="H262" s="2">
        <f>SUM(F$4:F262)</f>
        <v>217.33594074409797</v>
      </c>
      <c r="I262" s="5" t="s">
        <v>826</v>
      </c>
    </row>
    <row r="263" spans="1:9">
      <c r="A263" s="1" t="s">
        <v>309</v>
      </c>
      <c r="B263" s="17">
        <f t="shared" si="12"/>
        <v>2547175.0723258252</v>
      </c>
      <c r="D263" s="8">
        <f t="shared" si="13"/>
        <v>2.0255223208236453E-10</v>
      </c>
      <c r="F263" s="2">
        <f t="shared" si="11"/>
        <v>5.159359964041542E-4</v>
      </c>
      <c r="H263" s="2">
        <f>SUM(F$4:F263)</f>
        <v>217.33645668009439</v>
      </c>
      <c r="I263" s="5" t="s">
        <v>827</v>
      </c>
    </row>
    <row r="264" spans="1:9">
      <c r="A264" s="1" t="s">
        <v>310</v>
      </c>
      <c r="B264" s="17">
        <f t="shared" si="12"/>
        <v>2674533.8259421168</v>
      </c>
      <c r="D264" s="8">
        <f t="shared" si="13"/>
        <v>1.858277358553803E-10</v>
      </c>
      <c r="F264" s="2">
        <f t="shared" si="11"/>
        <v>4.9700256534345138E-4</v>
      </c>
      <c r="H264" s="2">
        <f>SUM(F$4:F264)</f>
        <v>217.33695368265973</v>
      </c>
      <c r="I264" s="5" t="s">
        <v>828</v>
      </c>
    </row>
    <row r="265" spans="1:9">
      <c r="A265" s="1" t="s">
        <v>311</v>
      </c>
      <c r="B265" s="17">
        <f t="shared" si="12"/>
        <v>2808260.5172392228</v>
      </c>
      <c r="D265" s="8">
        <f t="shared" si="13"/>
        <v>1.7048416133521128E-10</v>
      </c>
      <c r="F265" s="2">
        <f t="shared" si="11"/>
        <v>4.7876393909231552E-4</v>
      </c>
      <c r="H265" s="2">
        <f>SUM(F$4:F265)</f>
        <v>217.33743244659883</v>
      </c>
      <c r="I265" s="5" t="s">
        <v>829</v>
      </c>
    </row>
    <row r="266" spans="1:9">
      <c r="A266" s="1" t="s">
        <v>312</v>
      </c>
      <c r="B266" s="17">
        <f t="shared" si="12"/>
        <v>2948673.5431011841</v>
      </c>
      <c r="D266" s="8">
        <f t="shared" si="13"/>
        <v>1.5640748746349658E-10</v>
      </c>
      <c r="F266" s="2">
        <f t="shared" si="11"/>
        <v>4.6119462022654249E-4</v>
      </c>
      <c r="H266" s="2">
        <f>SUM(F$4:F266)</f>
        <v>217.33789364121904</v>
      </c>
      <c r="I266" s="5" t="s">
        <v>830</v>
      </c>
    </row>
    <row r="267" spans="1:9">
      <c r="A267" s="1" t="s">
        <v>313</v>
      </c>
      <c r="B267" s="17">
        <f t="shared" si="12"/>
        <v>3096107.2202562434</v>
      </c>
      <c r="D267" s="8">
        <f t="shared" si="13"/>
        <v>1.4349310776467575E-10</v>
      </c>
      <c r="F267" s="2">
        <f t="shared" si="11"/>
        <v>4.4427004700721981E-4</v>
      </c>
      <c r="H267" s="2">
        <f>SUM(F$4:F267)</f>
        <v>217.33833791126605</v>
      </c>
      <c r="I267" s="5" t="s">
        <v>831</v>
      </c>
    </row>
    <row r="268" spans="1:9">
      <c r="A268" s="1" t="s">
        <v>314</v>
      </c>
      <c r="B268" s="17">
        <f t="shared" si="12"/>
        <v>3250912.5812690556</v>
      </c>
      <c r="D268" s="8">
        <f t="shared" si="13"/>
        <v>1.3164505299511536E-10</v>
      </c>
      <c r="F268" s="2">
        <f t="shared" si="11"/>
        <v>4.2796655904365208E-4</v>
      </c>
      <c r="H268" s="2">
        <f>SUM(F$4:F268)</f>
        <v>217.3387658778251</v>
      </c>
      <c r="I268" s="5" t="s">
        <v>832</v>
      </c>
    </row>
    <row r="269" spans="1:9">
      <c r="A269" s="1" t="s">
        <v>315</v>
      </c>
      <c r="B269" s="17">
        <f t="shared" si="12"/>
        <v>3413458.2103325087</v>
      </c>
      <c r="D269" s="8">
        <f t="shared" si="13"/>
        <v>1.2077527797717004E-10</v>
      </c>
      <c r="F269" s="2">
        <f t="shared" si="11"/>
        <v>4.1226136421636212E-4</v>
      </c>
      <c r="H269" s="2">
        <f>SUM(F$4:F269)</f>
        <v>217.3391781391893</v>
      </c>
      <c r="I269" s="5" t="s">
        <v>833</v>
      </c>
    </row>
    <row r="270" spans="1:9">
      <c r="A270" s="1" t="s">
        <v>316</v>
      </c>
      <c r="B270" s="17">
        <f t="shared" si="12"/>
        <v>3584131.1208491344</v>
      </c>
      <c r="D270" s="8">
        <f t="shared" si="13"/>
        <v>1.1080300731850462E-10</v>
      </c>
      <c r="F270" s="2">
        <f t="shared" si="11"/>
        <v>3.9713250681392678E-4</v>
      </c>
      <c r="H270" s="2">
        <f>SUM(F$4:F270)</f>
        <v>217.33957527169611</v>
      </c>
      <c r="I270" s="5" t="s">
        <v>834</v>
      </c>
    </row>
    <row r="271" spans="1:9">
      <c r="A271" s="1" t="s">
        <v>317</v>
      </c>
      <c r="B271" s="17">
        <f t="shared" si="12"/>
        <v>3763337.6768915914</v>
      </c>
      <c r="D271" s="8">
        <f t="shared" si="13"/>
        <v>1.0165413515459139E-10</v>
      </c>
      <c r="F271" s="2">
        <f t="shared" si="11"/>
        <v>3.8255883683910384E-4</v>
      </c>
      <c r="H271" s="2">
        <f>SUM(F$4:F271)</f>
        <v>217.33995783053294</v>
      </c>
      <c r="I271" s="5" t="s">
        <v>835</v>
      </c>
    </row>
    <row r="272" spans="1:9">
      <c r="A272" s="1" t="s">
        <v>318</v>
      </c>
      <c r="B272" s="17">
        <f t="shared" si="12"/>
        <v>3951504.560736171</v>
      </c>
      <c r="D272" s="8">
        <f t="shared" si="13"/>
        <v>9.3260674453753568E-11</v>
      </c>
      <c r="F272" s="2">
        <f t="shared" ref="F272:F335" si="14">B272*D272</f>
        <v>3.6851998044133851E-4</v>
      </c>
      <c r="H272" s="2">
        <f>SUM(F$4:F272)</f>
        <v>217.34032635051338</v>
      </c>
      <c r="I272" s="5" t="s">
        <v>836</v>
      </c>
    </row>
    <row r="273" spans="1:9">
      <c r="A273" s="1" t="s">
        <v>319</v>
      </c>
      <c r="B273" s="17">
        <f t="shared" ref="B273:B336" si="15">B272*(1+5%)</f>
        <v>4149079.7887729798</v>
      </c>
      <c r="D273" s="8">
        <f t="shared" ref="D273:D336" si="16">D272/(1+9%)</f>
        <v>8.556025179243446E-11</v>
      </c>
      <c r="F273" s="2">
        <f t="shared" si="14"/>
        <v>3.5499631143431692E-4</v>
      </c>
      <c r="H273" s="2">
        <f>SUM(F$4:F273)</f>
        <v>217.34068134682482</v>
      </c>
      <c r="I273" s="5" t="s">
        <v>837</v>
      </c>
    </row>
    <row r="274" spans="1:9">
      <c r="A274" s="1" t="s">
        <v>320</v>
      </c>
      <c r="B274" s="17">
        <f t="shared" si="15"/>
        <v>4356533.778211629</v>
      </c>
      <c r="D274" s="8">
        <f t="shared" si="16"/>
        <v>7.8495643846270144E-11</v>
      </c>
      <c r="F274" s="2">
        <f t="shared" si="14"/>
        <v>3.4196892385874569E-4</v>
      </c>
      <c r="H274" s="2">
        <f>SUM(F$4:F274)</f>
        <v>217.34102331574869</v>
      </c>
      <c r="I274" s="5" t="s">
        <v>838</v>
      </c>
    </row>
    <row r="275" spans="1:9">
      <c r="A275" s="1" t="s">
        <v>321</v>
      </c>
      <c r="B275" s="17">
        <f t="shared" si="15"/>
        <v>4574360.4671222111</v>
      </c>
      <c r="D275" s="8">
        <f t="shared" si="16"/>
        <v>7.2014352152541408E-11</v>
      </c>
      <c r="F275" s="2">
        <f t="shared" si="14"/>
        <v>3.294196055520027E-4</v>
      </c>
      <c r="H275" s="2">
        <f>SUM(F$4:F275)</f>
        <v>217.34135273535423</v>
      </c>
      <c r="I275" s="5" t="s">
        <v>839</v>
      </c>
    </row>
    <row r="276" spans="1:9">
      <c r="A276" s="1" t="s">
        <v>322</v>
      </c>
      <c r="B276" s="17">
        <f t="shared" si="15"/>
        <v>4803078.4904783219</v>
      </c>
      <c r="D276" s="8">
        <f t="shared" si="16"/>
        <v>6.6068212983982934E-11</v>
      </c>
      <c r="F276" s="2">
        <f t="shared" si="14"/>
        <v>3.1733081268770901E-4</v>
      </c>
      <c r="H276" s="2">
        <f>SUM(F$4:F276)</f>
        <v>217.34167006616693</v>
      </c>
      <c r="I276" s="5" t="s">
        <v>840</v>
      </c>
    </row>
    <row r="277" spans="1:9">
      <c r="A277" s="1" t="s">
        <v>323</v>
      </c>
      <c r="B277" s="17">
        <f t="shared" si="15"/>
        <v>5043232.415002238</v>
      </c>
      <c r="D277" s="8">
        <f t="shared" si="16"/>
        <v>6.0613039434846729E-11</v>
      </c>
      <c r="F277" s="2">
        <f t="shared" si="14"/>
        <v>3.0568564524962796E-4</v>
      </c>
      <c r="H277" s="2">
        <f>SUM(F$4:F277)</f>
        <v>217.34197575181219</v>
      </c>
      <c r="I277" s="5" t="s">
        <v>841</v>
      </c>
    </row>
    <row r="278" spans="1:9">
      <c r="A278" s="1" t="s">
        <v>324</v>
      </c>
      <c r="B278" s="17">
        <f t="shared" si="15"/>
        <v>5295394.0357523505</v>
      </c>
      <c r="D278" s="8">
        <f t="shared" si="16"/>
        <v>5.5608293059492406E-11</v>
      </c>
      <c r="F278" s="2">
        <f t="shared" si="14"/>
        <v>2.944678234056049E-4</v>
      </c>
      <c r="H278" s="2">
        <f>SUM(F$4:F278)</f>
        <v>217.34227021963559</v>
      </c>
      <c r="I278" s="5" t="s">
        <v>842</v>
      </c>
    </row>
    <row r="279" spans="1:9">
      <c r="A279" s="1" t="s">
        <v>325</v>
      </c>
      <c r="B279" s="17">
        <f t="shared" si="15"/>
        <v>5560163.7375399685</v>
      </c>
      <c r="D279" s="8">
        <f t="shared" si="16"/>
        <v>5.1016782623387523E-11</v>
      </c>
      <c r="F279" s="2">
        <f t="shared" si="14"/>
        <v>2.8366166474851849E-4</v>
      </c>
      <c r="H279" s="2">
        <f>SUM(F$4:F279)</f>
        <v>217.34255388130035</v>
      </c>
      <c r="I279" s="5" t="s">
        <v>843</v>
      </c>
    </row>
    <row r="280" spans="1:9">
      <c r="A280" s="1" t="s">
        <v>326</v>
      </c>
      <c r="B280" s="17">
        <f t="shared" si="15"/>
        <v>5838171.9244169667</v>
      </c>
      <c r="D280" s="8">
        <f t="shared" si="16"/>
        <v>4.6804387727878461E-11</v>
      </c>
      <c r="F280" s="2">
        <f t="shared" si="14"/>
        <v>2.7325206237242605E-4</v>
      </c>
      <c r="H280" s="2">
        <f>SUM(F$4:F280)</f>
        <v>217.34282713336273</v>
      </c>
      <c r="I280" s="5" t="s">
        <v>844</v>
      </c>
    </row>
    <row r="281" spans="1:9">
      <c r="A281" s="1" t="s">
        <v>327</v>
      </c>
      <c r="B281" s="17">
        <f t="shared" si="15"/>
        <v>6130080.5206378149</v>
      </c>
      <c r="D281" s="8">
        <f t="shared" si="16"/>
        <v>4.2939805254934363E-11</v>
      </c>
      <c r="F281" s="2">
        <f t="shared" si="14"/>
        <v>2.6322446375325444E-4</v>
      </c>
      <c r="H281" s="2">
        <f>SUM(F$4:F281)</f>
        <v>217.3430903578265</v>
      </c>
      <c r="I281" s="5" t="s">
        <v>845</v>
      </c>
    </row>
    <row r="282" spans="1:9">
      <c r="A282" s="1" t="s">
        <v>328</v>
      </c>
      <c r="B282" s="17">
        <f t="shared" si="15"/>
        <v>6436584.5466697058</v>
      </c>
      <c r="D282" s="8">
        <f t="shared" si="16"/>
        <v>3.9394316747646204E-11</v>
      </c>
      <c r="F282" s="2">
        <f t="shared" si="14"/>
        <v>2.5356485040451115E-4</v>
      </c>
      <c r="H282" s="2">
        <f>SUM(F$4:F282)</f>
        <v>217.34334392267689</v>
      </c>
      <c r="I282" s="5" t="s">
        <v>846</v>
      </c>
    </row>
    <row r="283" spans="1:9">
      <c r="A283" s="1" t="s">
        <v>329</v>
      </c>
      <c r="B283" s="17">
        <f t="shared" si="15"/>
        <v>6758413.7740031909</v>
      </c>
      <c r="D283" s="8">
        <f t="shared" si="16"/>
        <v>3.614157499784055E-11</v>
      </c>
      <c r="F283" s="2">
        <f t="shared" si="14"/>
        <v>2.442597182795749E-4</v>
      </c>
      <c r="H283" s="2">
        <f>SUM(F$4:F283)</f>
        <v>217.34358818239517</v>
      </c>
      <c r="I283" s="5" t="s">
        <v>847</v>
      </c>
    </row>
    <row r="284" spans="1:9">
      <c r="A284" s="1" t="s">
        <v>330</v>
      </c>
      <c r="B284" s="17">
        <f t="shared" si="15"/>
        <v>7096334.4627033509</v>
      </c>
      <c r="D284" s="8">
        <f t="shared" si="16"/>
        <v>3.3157408254899585E-11</v>
      </c>
      <c r="F284" s="2">
        <f t="shared" si="14"/>
        <v>2.3529605889316849E-4</v>
      </c>
      <c r="H284" s="2">
        <f>SUM(F$4:F284)</f>
        <v>217.34382347845406</v>
      </c>
      <c r="I284" s="5" t="s">
        <v>848</v>
      </c>
    </row>
    <row r="285" spans="1:9">
      <c r="A285" s="1" t="s">
        <v>331</v>
      </c>
      <c r="B285" s="17">
        <f t="shared" si="15"/>
        <v>7451151.1858385187</v>
      </c>
      <c r="D285" s="8">
        <f t="shared" si="16"/>
        <v>3.0419640600825303E-11</v>
      </c>
      <c r="F285" s="2">
        <f t="shared" si="14"/>
        <v>2.2666134113562099E-4</v>
      </c>
      <c r="H285" s="2">
        <f>SUM(F$4:F285)</f>
        <v>217.3440501397952</v>
      </c>
      <c r="I285" s="5" t="s">
        <v>849</v>
      </c>
    </row>
    <row r="286" spans="1:9">
      <c r="A286" s="1" t="s">
        <v>332</v>
      </c>
      <c r="B286" s="17">
        <f t="shared" si="15"/>
        <v>7823708.7451304449</v>
      </c>
      <c r="D286" s="8">
        <f t="shared" si="16"/>
        <v>2.7907927156720459E-11</v>
      </c>
      <c r="F286" s="2">
        <f t="shared" si="14"/>
        <v>2.183434937544973E-4</v>
      </c>
      <c r="H286" s="2">
        <f>SUM(F$4:F286)</f>
        <v>217.34426848328894</v>
      </c>
      <c r="I286" s="5" t="s">
        <v>850</v>
      </c>
    </row>
    <row r="287" spans="1:9">
      <c r="A287" s="1" t="s">
        <v>333</v>
      </c>
      <c r="B287" s="17">
        <f t="shared" si="15"/>
        <v>8214894.1823869674</v>
      </c>
      <c r="D287" s="8">
        <f t="shared" si="16"/>
        <v>2.5603602896073813E-11</v>
      </c>
      <c r="F287" s="2">
        <f t="shared" si="14"/>
        <v>2.1033088847910287E-4</v>
      </c>
      <c r="H287" s="2">
        <f>SUM(F$4:F287)</f>
        <v>217.34447881417742</v>
      </c>
      <c r="I287" s="5" t="s">
        <v>851</v>
      </c>
    </row>
    <row r="288" spans="1:9">
      <c r="A288" s="1" t="s">
        <v>334</v>
      </c>
      <c r="B288" s="17">
        <f t="shared" si="15"/>
        <v>8625638.8915063161</v>
      </c>
      <c r="D288" s="8">
        <f t="shared" si="16"/>
        <v>2.3489543941352119E-11</v>
      </c>
      <c r="F288" s="2">
        <f t="shared" si="14"/>
        <v>2.0261232376427338E-4</v>
      </c>
      <c r="H288" s="2">
        <f>SUM(F$4:F288)</f>
        <v>217.34468142650118</v>
      </c>
      <c r="I288" s="5" t="s">
        <v>852</v>
      </c>
    </row>
    <row r="289" spans="1:9">
      <c r="A289" s="1" t="s">
        <v>335</v>
      </c>
      <c r="B289" s="17">
        <f t="shared" si="15"/>
        <v>9056920.8360816315</v>
      </c>
      <c r="D289" s="8">
        <f t="shared" si="16"/>
        <v>2.155004031316708E-11</v>
      </c>
      <c r="F289" s="2">
        <f t="shared" si="14"/>
        <v>1.9517700913072205E-4</v>
      </c>
      <c r="H289" s="2">
        <f>SUM(F$4:F289)</f>
        <v>217.3448766035103</v>
      </c>
      <c r="I289" s="5" t="s">
        <v>853</v>
      </c>
    </row>
    <row r="290" spans="1:9">
      <c r="A290" s="1" t="s">
        <v>336</v>
      </c>
      <c r="B290" s="17">
        <f t="shared" si="15"/>
        <v>9509766.8778857142</v>
      </c>
      <c r="D290" s="8">
        <f t="shared" si="16"/>
        <v>1.9770679186391814E-11</v>
      </c>
      <c r="F290" s="2">
        <f t="shared" si="14"/>
        <v>1.8801455008005336E-4</v>
      </c>
      <c r="H290" s="2">
        <f>SUM(F$4:F290)</f>
        <v>217.34506461806038</v>
      </c>
      <c r="I290" s="5" t="s">
        <v>854</v>
      </c>
    </row>
    <row r="291" spans="1:9">
      <c r="A291" s="1" t="s">
        <v>337</v>
      </c>
      <c r="B291" s="17">
        <f t="shared" si="15"/>
        <v>9985255.2217800003</v>
      </c>
      <c r="D291" s="8">
        <f t="shared" si="16"/>
        <v>1.8138237785680562E-11</v>
      </c>
      <c r="F291" s="2">
        <f t="shared" si="14"/>
        <v>1.8111493356335413E-4</v>
      </c>
      <c r="H291" s="2">
        <f>SUM(F$4:F291)</f>
        <v>217.34524573299393</v>
      </c>
      <c r="I291" s="5" t="s">
        <v>855</v>
      </c>
    </row>
    <row r="292" spans="1:9">
      <c r="A292" s="1" t="s">
        <v>338</v>
      </c>
      <c r="B292" s="17">
        <f t="shared" si="15"/>
        <v>10484517.982869001</v>
      </c>
      <c r="D292" s="8">
        <f t="shared" si="16"/>
        <v>1.6640585124477578E-11</v>
      </c>
      <c r="F292" s="2">
        <f t="shared" si="14"/>
        <v>1.7446851398304755E-4</v>
      </c>
      <c r="H292" s="2">
        <f>SUM(F$4:F292)</f>
        <v>217.34542020150792</v>
      </c>
      <c r="I292" s="5" t="s">
        <v>856</v>
      </c>
    </row>
    <row r="293" spans="1:9">
      <c r="A293" s="1" t="s">
        <v>339</v>
      </c>
      <c r="B293" s="17">
        <f t="shared" si="15"/>
        <v>11008743.882012451</v>
      </c>
      <c r="D293" s="8">
        <f t="shared" si="16"/>
        <v>1.5266591857318879E-11</v>
      </c>
      <c r="F293" s="2">
        <f t="shared" si="14"/>
        <v>1.6806599970844031E-4</v>
      </c>
      <c r="H293" s="2">
        <f>SUM(F$4:F293)</f>
        <v>217.34558826750762</v>
      </c>
      <c r="I293" s="5" t="s">
        <v>857</v>
      </c>
    </row>
    <row r="294" spans="1:9">
      <c r="A294" s="1" t="s">
        <v>340</v>
      </c>
      <c r="B294" s="17">
        <f t="shared" si="15"/>
        <v>11559181.076113075</v>
      </c>
      <c r="D294" s="8">
        <f t="shared" si="16"/>
        <v>1.4006047575521906E-11</v>
      </c>
      <c r="F294" s="2">
        <f t="shared" si="14"/>
        <v>1.6189844008611225E-4</v>
      </c>
      <c r="H294" s="2">
        <f>SUM(F$4:F294)</f>
        <v>217.34575016594772</v>
      </c>
      <c r="I294" s="5" t="s">
        <v>858</v>
      </c>
    </row>
    <row r="295" spans="1:9">
      <c r="A295" s="1" t="s">
        <v>341</v>
      </c>
      <c r="B295" s="17">
        <f t="shared" si="15"/>
        <v>12137140.12991873</v>
      </c>
      <c r="D295" s="8">
        <f t="shared" si="16"/>
        <v>1.2849584931671473E-11</v>
      </c>
      <c r="F295" s="2">
        <f t="shared" si="14"/>
        <v>1.5595721292698886E-4</v>
      </c>
      <c r="H295" s="2">
        <f>SUM(F$4:F295)</f>
        <v>217.34590612316066</v>
      </c>
      <c r="I295" s="5" t="s">
        <v>859</v>
      </c>
    </row>
    <row r="296" spans="1:9">
      <c r="A296" s="1" t="s">
        <v>342</v>
      </c>
      <c r="B296" s="17">
        <f t="shared" si="15"/>
        <v>12743997.136414668</v>
      </c>
      <c r="D296" s="8">
        <f t="shared" si="16"/>
        <v>1.1788610029056397E-11</v>
      </c>
      <c r="F296" s="2">
        <f t="shared" si="14"/>
        <v>1.5023401245260396E-4</v>
      </c>
      <c r="H296" s="2">
        <f>SUM(F$4:F296)</f>
        <v>217.34605635717313</v>
      </c>
      <c r="I296" s="5" t="s">
        <v>860</v>
      </c>
    </row>
    <row r="297" spans="1:9">
      <c r="A297" s="1" t="s">
        <v>343</v>
      </c>
      <c r="B297" s="17">
        <f t="shared" si="15"/>
        <v>13381196.993235402</v>
      </c>
      <c r="D297" s="8">
        <f t="shared" si="16"/>
        <v>1.0815238558767336E-11</v>
      </c>
      <c r="F297" s="2">
        <f t="shared" si="14"/>
        <v>1.4472083768370106E-4</v>
      </c>
      <c r="H297" s="2">
        <f>SUM(F$4:F297)</f>
        <v>217.34620107801081</v>
      </c>
      <c r="I297" s="5" t="s">
        <v>861</v>
      </c>
    </row>
    <row r="298" spans="1:9">
      <c r="A298" s="1" t="s">
        <v>344</v>
      </c>
      <c r="B298" s="17">
        <f t="shared" si="15"/>
        <v>14050256.842897173</v>
      </c>
      <c r="D298" s="8">
        <f t="shared" si="16"/>
        <v>9.9222372098782898E-12</v>
      </c>
      <c r="F298" s="2">
        <f t="shared" si="14"/>
        <v>1.394099812549414E-4</v>
      </c>
      <c r="H298" s="2">
        <f>SUM(F$4:F298)</f>
        <v>217.34634048799205</v>
      </c>
      <c r="I298" s="5" t="s">
        <v>862</v>
      </c>
    </row>
    <row r="299" spans="1:9">
      <c r="A299" s="1" t="s">
        <v>345</v>
      </c>
      <c r="B299" s="17">
        <f t="shared" si="15"/>
        <v>14752769.685042033</v>
      </c>
      <c r="D299" s="8">
        <f t="shared" si="16"/>
        <v>9.1029699173195318E-12</v>
      </c>
      <c r="F299" s="2">
        <f t="shared" si="14"/>
        <v>1.3429401864008118E-4</v>
      </c>
      <c r="H299" s="2">
        <f>SUM(F$4:F299)</f>
        <v>217.34647478201069</v>
      </c>
      <c r="I299" s="5" t="s">
        <v>863</v>
      </c>
    </row>
    <row r="300" spans="1:9">
      <c r="A300" s="1" t="s">
        <v>346</v>
      </c>
      <c r="B300" s="17">
        <f t="shared" si="15"/>
        <v>15490408.169294136</v>
      </c>
      <c r="D300" s="8">
        <f t="shared" si="16"/>
        <v>8.351348547999569E-12</v>
      </c>
      <c r="F300" s="2">
        <f t="shared" si="14"/>
        <v>1.2936579777255523E-4</v>
      </c>
      <c r="H300" s="2">
        <f>SUM(F$4:F300)</f>
        <v>217.34660414780845</v>
      </c>
      <c r="I300" s="5" t="s">
        <v>864</v>
      </c>
    </row>
    <row r="301" spans="1:9">
      <c r="A301" s="1" t="s">
        <v>347</v>
      </c>
      <c r="B301" s="17">
        <f t="shared" si="15"/>
        <v>16264928.577758843</v>
      </c>
      <c r="D301" s="8">
        <f t="shared" si="16"/>
        <v>7.6617876587151996E-12</v>
      </c>
      <c r="F301" s="2">
        <f t="shared" si="14"/>
        <v>1.2461842904695688E-4</v>
      </c>
      <c r="H301" s="2">
        <f>SUM(F$4:F301)</f>
        <v>217.3467287662375</v>
      </c>
      <c r="I301" s="5" t="s">
        <v>865</v>
      </c>
    </row>
    <row r="302" spans="1:9">
      <c r="A302" s="1" t="s">
        <v>348</v>
      </c>
      <c r="B302" s="17">
        <f t="shared" si="15"/>
        <v>17078175.006646786</v>
      </c>
      <c r="D302" s="8">
        <f t="shared" si="16"/>
        <v>7.0291629896469715E-12</v>
      </c>
      <c r="F302" s="2">
        <f t="shared" si="14"/>
        <v>1.2004527568743551E-4</v>
      </c>
      <c r="H302" s="2">
        <f>SUM(F$4:F302)</f>
        <v>217.34684881151318</v>
      </c>
      <c r="I302" s="5" t="s">
        <v>866</v>
      </c>
    </row>
    <row r="303" spans="1:9">
      <c r="A303" s="1" t="s">
        <v>349</v>
      </c>
      <c r="B303" s="17">
        <f t="shared" si="15"/>
        <v>17932083.756979126</v>
      </c>
      <c r="D303" s="8">
        <f t="shared" si="16"/>
        <v>6.4487733849972214E-12</v>
      </c>
      <c r="F303" s="2">
        <f t="shared" si="14"/>
        <v>1.1563994446954798E-4</v>
      </c>
      <c r="H303" s="2">
        <f>SUM(F$4:F303)</f>
        <v>217.34696445145767</v>
      </c>
      <c r="I303" s="5" t="s">
        <v>867</v>
      </c>
    </row>
    <row r="304" spans="1:9">
      <c r="A304" s="1" t="s">
        <v>350</v>
      </c>
      <c r="B304" s="17">
        <f t="shared" si="15"/>
        <v>18828687.944828082</v>
      </c>
      <c r="D304" s="8">
        <f t="shared" si="16"/>
        <v>5.9163058577956157E-12</v>
      </c>
      <c r="F304" s="2">
        <f t="shared" si="14"/>
        <v>1.1139627678259207E-4</v>
      </c>
      <c r="H304" s="2">
        <f>SUM(F$4:F304)</f>
        <v>217.34707584773446</v>
      </c>
      <c r="I304" s="5" t="s">
        <v>868</v>
      </c>
    </row>
    <row r="305" spans="1:9">
      <c r="A305" s="1" t="s">
        <v>351</v>
      </c>
      <c r="B305" s="17">
        <f t="shared" si="15"/>
        <v>19770122.342069488</v>
      </c>
      <c r="D305" s="8">
        <f t="shared" si="16"/>
        <v>5.427803539262032E-12</v>
      </c>
      <c r="F305" s="2">
        <f t="shared" si="14"/>
        <v>1.0730834001992814E-4</v>
      </c>
      <c r="H305" s="2">
        <f>SUM(F$4:F305)</f>
        <v>217.34718315607446</v>
      </c>
      <c r="I305" s="5" t="s">
        <v>869</v>
      </c>
    </row>
    <row r="306" spans="1:9">
      <c r="A306" s="1" t="s">
        <v>352</v>
      </c>
      <c r="B306" s="17">
        <f t="shared" si="15"/>
        <v>20758628.459172964</v>
      </c>
      <c r="D306" s="8">
        <f t="shared" si="16"/>
        <v>4.9796362745523227E-12</v>
      </c>
      <c r="F306" s="2">
        <f t="shared" si="14"/>
        <v>1.0337041928525188E-4</v>
      </c>
      <c r="H306" s="2">
        <f>SUM(F$4:F306)</f>
        <v>217.34728652649375</v>
      </c>
      <c r="I306" s="5" t="s">
        <v>870</v>
      </c>
    </row>
    <row r="307" spans="1:9">
      <c r="A307" s="1" t="s">
        <v>353</v>
      </c>
      <c r="B307" s="17">
        <f t="shared" si="15"/>
        <v>21796559.882131614</v>
      </c>
      <c r="D307" s="8">
        <f t="shared" si="16"/>
        <v>4.5684736463782772E-12</v>
      </c>
      <c r="F307" s="2">
        <f t="shared" si="14"/>
        <v>9.9577009403224292E-5</v>
      </c>
      <c r="H307" s="2">
        <f>SUM(F$4:F307)</f>
        <v>217.34738610350314</v>
      </c>
      <c r="I307" s="5" t="s">
        <v>871</v>
      </c>
    </row>
    <row r="308" spans="1:9">
      <c r="A308" s="1" t="s">
        <v>354</v>
      </c>
      <c r="B308" s="17">
        <f t="shared" si="15"/>
        <v>22886387.876238197</v>
      </c>
      <c r="D308" s="8">
        <f t="shared" si="16"/>
        <v>4.1912602260351166E-12</v>
      </c>
      <c r="F308" s="2">
        <f t="shared" si="14"/>
        <v>9.5922807223289454E-5</v>
      </c>
      <c r="H308" s="2">
        <f>SUM(F$4:F308)</f>
        <v>217.34748202631036</v>
      </c>
      <c r="I308" s="5" t="s">
        <v>872</v>
      </c>
    </row>
    <row r="309" spans="1:9">
      <c r="A309" s="1" t="s">
        <v>355</v>
      </c>
      <c r="B309" s="17">
        <f t="shared" si="15"/>
        <v>24030707.270050108</v>
      </c>
      <c r="D309" s="8">
        <f t="shared" si="16"/>
        <v>3.8451928679221246E-12</v>
      </c>
      <c r="F309" s="2">
        <f t="shared" si="14"/>
        <v>9.2402704205921021E-5</v>
      </c>
      <c r="H309" s="2">
        <f>SUM(F$4:F309)</f>
        <v>217.34757442901457</v>
      </c>
      <c r="I309" s="5" t="s">
        <v>873</v>
      </c>
    </row>
    <row r="310" spans="1:9">
      <c r="A310" s="1" t="s">
        <v>356</v>
      </c>
      <c r="B310" s="17">
        <f t="shared" si="15"/>
        <v>25232242.633552615</v>
      </c>
      <c r="D310" s="8">
        <f t="shared" si="16"/>
        <v>3.5276998788276369E-12</v>
      </c>
      <c r="F310" s="2">
        <f t="shared" si="14"/>
        <v>8.9011779280933096E-5</v>
      </c>
      <c r="H310" s="2">
        <f>SUM(F$4:F310)</f>
        <v>217.34766344079387</v>
      </c>
      <c r="I310" s="5" t="s">
        <v>874</v>
      </c>
    </row>
    <row r="311" spans="1:9">
      <c r="A311" s="1" t="s">
        <v>357</v>
      </c>
      <c r="B311" s="17">
        <f t="shared" si="15"/>
        <v>26493854.765230246</v>
      </c>
      <c r="D311" s="8">
        <f t="shared" si="16"/>
        <v>3.2364219071813179E-12</v>
      </c>
      <c r="F311" s="2">
        <f t="shared" si="14"/>
        <v>8.5745291967871321E-5</v>
      </c>
      <c r="H311" s="2">
        <f>SUM(F$4:F311)</f>
        <v>217.34774918608582</v>
      </c>
      <c r="I311" s="5" t="s">
        <v>875</v>
      </c>
    </row>
    <row r="312" spans="1:9">
      <c r="A312" s="1" t="s">
        <v>358</v>
      </c>
      <c r="B312" s="17">
        <f t="shared" si="15"/>
        <v>27818547.503491759</v>
      </c>
      <c r="D312" s="8">
        <f t="shared" si="16"/>
        <v>2.9691944102580896E-12</v>
      </c>
      <c r="F312" s="2">
        <f t="shared" si="14"/>
        <v>8.2598675748866868E-5</v>
      </c>
      <c r="H312" s="2">
        <f>SUM(F$4:F312)</f>
        <v>217.34783178476158</v>
      </c>
      <c r="I312" s="5" t="s">
        <v>876</v>
      </c>
    </row>
    <row r="313" spans="1:9">
      <c r="A313" s="1" t="s">
        <v>359</v>
      </c>
      <c r="B313" s="17">
        <f t="shared" si="15"/>
        <v>29209474.878666349</v>
      </c>
      <c r="D313" s="8">
        <f t="shared" si="16"/>
        <v>2.7240315690441188E-12</v>
      </c>
      <c r="F313" s="2">
        <f t="shared" si="14"/>
        <v>7.9567531684688266E-5</v>
      </c>
      <c r="H313" s="2">
        <f>SUM(F$4:F313)</f>
        <v>217.34791135229327</v>
      </c>
      <c r="I313" s="5" t="s">
        <v>877</v>
      </c>
    </row>
    <row r="314" spans="1:9">
      <c r="A314" s="1" t="s">
        <v>360</v>
      </c>
      <c r="B314" s="17">
        <f t="shared" si="15"/>
        <v>30669948.622599669</v>
      </c>
      <c r="D314" s="8">
        <f t="shared" si="16"/>
        <v>2.4991115312331362E-12</v>
      </c>
      <c r="F314" s="2">
        <f t="shared" si="14"/>
        <v>7.6647622265066677E-5</v>
      </c>
      <c r="H314" s="2">
        <f>SUM(F$4:F314)</f>
        <v>217.34798799991552</v>
      </c>
      <c r="I314" s="5" t="s">
        <v>878</v>
      </c>
    </row>
    <row r="315" spans="1:9">
      <c r="A315" s="1" t="s">
        <v>361</v>
      </c>
      <c r="B315" s="17">
        <f t="shared" si="15"/>
        <v>32203446.053729653</v>
      </c>
      <c r="D315" s="8">
        <f t="shared" si="16"/>
        <v>2.2927628726909504E-12</v>
      </c>
      <c r="F315" s="2">
        <f t="shared" si="14"/>
        <v>7.3834865484697255E-5</v>
      </c>
      <c r="H315" s="2">
        <f>SUM(F$4:F315)</f>
        <v>217.34806183478099</v>
      </c>
      <c r="I315" s="5" t="s">
        <v>879</v>
      </c>
    </row>
    <row r="316" spans="1:9">
      <c r="A316" s="1" t="s">
        <v>362</v>
      </c>
      <c r="B316" s="17">
        <f t="shared" si="15"/>
        <v>33813618.356416136</v>
      </c>
      <c r="D316" s="8">
        <f t="shared" si="16"/>
        <v>2.1034521767806884E-12</v>
      </c>
      <c r="F316" s="2">
        <f t="shared" si="14"/>
        <v>7.112532913663496E-5</v>
      </c>
      <c r="H316" s="2">
        <f>SUM(F$4:F316)</f>
        <v>217.34813296011012</v>
      </c>
      <c r="I316" s="5" t="s">
        <v>880</v>
      </c>
    </row>
    <row r="317" spans="1:9">
      <c r="A317" s="1" t="s">
        <v>363</v>
      </c>
      <c r="B317" s="17">
        <f t="shared" si="15"/>
        <v>35504299.274236947</v>
      </c>
      <c r="D317" s="8">
        <f t="shared" si="16"/>
        <v>1.929772639248338E-12</v>
      </c>
      <c r="F317" s="2">
        <f t="shared" si="14"/>
        <v>6.8515225315107084E-5</v>
      </c>
      <c r="H317" s="2">
        <f>SUM(F$4:F317)</f>
        <v>217.34820147533543</v>
      </c>
      <c r="I317" s="5" t="s">
        <v>881</v>
      </c>
    </row>
    <row r="318" spans="1:9">
      <c r="A318" s="1" t="s">
        <v>364</v>
      </c>
      <c r="B318" s="17">
        <f t="shared" si="15"/>
        <v>37279514.237948798</v>
      </c>
      <c r="D318" s="8">
        <f t="shared" si="16"/>
        <v>1.7704336139893008E-12</v>
      </c>
      <c r="F318" s="2">
        <f t="shared" si="14"/>
        <v>6.6000905120057278E-5</v>
      </c>
      <c r="H318" s="2">
        <f>SUM(F$4:F318)</f>
        <v>217.34826747624055</v>
      </c>
      <c r="I318" s="5" t="s">
        <v>882</v>
      </c>
    </row>
    <row r="319" spans="1:9">
      <c r="A319" s="1" t="s">
        <v>365</v>
      </c>
      <c r="B319" s="17">
        <f t="shared" si="15"/>
        <v>39143489.949846238</v>
      </c>
      <c r="D319" s="8">
        <f t="shared" si="16"/>
        <v>1.6242510220085327E-12</v>
      </c>
      <c r="F319" s="2">
        <f t="shared" si="14"/>
        <v>6.3578853556018475E-5</v>
      </c>
      <c r="H319" s="2">
        <f>SUM(F$4:F319)</f>
        <v>217.34833105509409</v>
      </c>
      <c r="I319" s="5" t="s">
        <v>883</v>
      </c>
    </row>
    <row r="320" spans="1:9">
      <c r="A320" s="1" t="s">
        <v>366</v>
      </c>
      <c r="B320" s="17">
        <f t="shared" si="15"/>
        <v>41100664.447338551</v>
      </c>
      <c r="D320" s="8">
        <f t="shared" si="16"/>
        <v>1.490138552301406E-12</v>
      </c>
      <c r="F320" s="2">
        <f t="shared" si="14"/>
        <v>6.1245684618182932E-5</v>
      </c>
      <c r="H320" s="2">
        <f>SUM(F$4:F320)</f>
        <v>217.3483923007787</v>
      </c>
      <c r="I320" s="5" t="s">
        <v>884</v>
      </c>
    </row>
    <row r="321" spans="1:9">
      <c r="A321" s="1" t="s">
        <v>367</v>
      </c>
      <c r="B321" s="17">
        <f t="shared" si="15"/>
        <v>43155697.66970548</v>
      </c>
      <c r="D321" s="8">
        <f t="shared" si="16"/>
        <v>1.367099589267345E-12</v>
      </c>
      <c r="F321" s="2">
        <f t="shared" si="14"/>
        <v>5.8998136558800075E-5</v>
      </c>
      <c r="H321" s="2">
        <f>SUM(F$4:F321)</f>
        <v>217.34845129891525</v>
      </c>
      <c r="I321" s="5" t="s">
        <v>885</v>
      </c>
    </row>
    <row r="322" spans="1:9">
      <c r="A322" s="1" t="s">
        <v>368</v>
      </c>
      <c r="B322" s="17">
        <f t="shared" si="15"/>
        <v>45313482.553190753</v>
      </c>
      <c r="D322" s="8">
        <f t="shared" si="16"/>
        <v>1.2542198066672888E-12</v>
      </c>
      <c r="F322" s="2">
        <f t="shared" si="14"/>
        <v>5.683306732728447E-5</v>
      </c>
      <c r="H322" s="2">
        <f>SUM(F$4:F322)</f>
        <v>217.34850813198258</v>
      </c>
      <c r="I322" s="5" t="s">
        <v>886</v>
      </c>
    </row>
    <row r="323" spans="1:9">
      <c r="A323" s="1" t="s">
        <v>369</v>
      </c>
      <c r="B323" s="17">
        <f t="shared" si="15"/>
        <v>47579156.68085029</v>
      </c>
      <c r="D323" s="8">
        <f t="shared" si="16"/>
        <v>1.1506603730892557E-12</v>
      </c>
      <c r="F323" s="2">
        <f t="shared" si="14"/>
        <v>5.4747450177659347E-5</v>
      </c>
      <c r="H323" s="2">
        <f>SUM(F$4:F323)</f>
        <v>217.34856287943276</v>
      </c>
      <c r="I323" s="5" t="s">
        <v>887</v>
      </c>
    </row>
    <row r="324" spans="1:9">
      <c r="A324" s="1" t="s">
        <v>370</v>
      </c>
      <c r="B324" s="17">
        <f t="shared" si="15"/>
        <v>49958114.514892809</v>
      </c>
      <c r="D324" s="8">
        <f t="shared" si="16"/>
        <v>1.0556517184305098E-12</v>
      </c>
      <c r="F324" s="2">
        <f t="shared" si="14"/>
        <v>5.2738369437194787E-5</v>
      </c>
      <c r="H324" s="2">
        <f>SUM(F$4:F324)</f>
        <v>217.34861561780221</v>
      </c>
      <c r="I324" s="5" t="s">
        <v>888</v>
      </c>
    </row>
    <row r="325" spans="1:9">
      <c r="A325" s="1" t="s">
        <v>371</v>
      </c>
      <c r="B325" s="17">
        <f t="shared" si="15"/>
        <v>52456020.240637451</v>
      </c>
      <c r="D325" s="8">
        <f t="shared" si="16"/>
        <v>9.6848781507386214E-13</v>
      </c>
      <c r="F325" s="2">
        <f t="shared" si="14"/>
        <v>5.0803016430325255E-5</v>
      </c>
      <c r="H325" s="2">
        <f>SUM(F$4:F325)</f>
        <v>217.34866642081863</v>
      </c>
      <c r="I325" s="5" t="s">
        <v>889</v>
      </c>
    </row>
    <row r="326" spans="1:9">
      <c r="A326" s="1" t="s">
        <v>372</v>
      </c>
      <c r="B326" s="17">
        <f t="shared" si="15"/>
        <v>55078821.252669327</v>
      </c>
      <c r="D326" s="8">
        <f t="shared" si="16"/>
        <v>8.8852093126042394E-13</v>
      </c>
      <c r="F326" s="2">
        <f t="shared" si="14"/>
        <v>4.8938685552148183E-5</v>
      </c>
      <c r="H326" s="2">
        <f>SUM(F$4:F326)</f>
        <v>217.34871535950418</v>
      </c>
      <c r="I326" s="5" t="s">
        <v>890</v>
      </c>
    </row>
    <row r="327" spans="1:9">
      <c r="A327" s="1" t="s">
        <v>373</v>
      </c>
      <c r="B327" s="17">
        <f t="shared" si="15"/>
        <v>57832762.315302797</v>
      </c>
      <c r="D327" s="8">
        <f t="shared" si="16"/>
        <v>8.151568176701136E-13</v>
      </c>
      <c r="F327" s="2">
        <f t="shared" si="14"/>
        <v>4.7142770486014302E-5</v>
      </c>
      <c r="H327" s="2">
        <f>SUM(F$4:F327)</f>
        <v>217.34876250227467</v>
      </c>
      <c r="I327" s="5" t="s">
        <v>891</v>
      </c>
    </row>
    <row r="328" spans="1:9">
      <c r="A328" s="1" t="s">
        <v>374</v>
      </c>
      <c r="B328" s="17">
        <f t="shared" si="15"/>
        <v>60724400.431067936</v>
      </c>
      <c r="D328" s="8">
        <f t="shared" si="16"/>
        <v>7.4785029144047109E-13</v>
      </c>
      <c r="F328" s="2">
        <f t="shared" si="14"/>
        <v>4.5412760559922026E-5</v>
      </c>
      <c r="H328" s="2">
        <f>SUM(F$4:F328)</f>
        <v>217.34880791503522</v>
      </c>
      <c r="I328" s="5" t="s">
        <v>892</v>
      </c>
    </row>
    <row r="329" spans="1:9">
      <c r="A329" s="1" t="s">
        <v>375</v>
      </c>
      <c r="B329" s="17">
        <f t="shared" si="15"/>
        <v>63760620.452621333</v>
      </c>
      <c r="D329" s="8">
        <f t="shared" si="16"/>
        <v>6.8610118480777162E-13</v>
      </c>
      <c r="F329" s="2">
        <f t="shared" si="14"/>
        <v>4.3746237236622129E-5</v>
      </c>
      <c r="H329" s="2">
        <f>SUM(F$4:F329)</f>
        <v>217.34885166127245</v>
      </c>
      <c r="I329" s="5" t="s">
        <v>893</v>
      </c>
    </row>
    <row r="330" spans="1:9">
      <c r="A330" s="1" t="s">
        <v>376</v>
      </c>
      <c r="B330" s="17">
        <f t="shared" si="15"/>
        <v>66948651.475252405</v>
      </c>
      <c r="D330" s="8">
        <f t="shared" si="16"/>
        <v>6.2945062826401064E-13</v>
      </c>
      <c r="F330" s="2">
        <f t="shared" si="14"/>
        <v>4.214087073252591E-5</v>
      </c>
      <c r="H330" s="2">
        <f>SUM(F$4:F330)</f>
        <v>217.34889380214318</v>
      </c>
      <c r="I330" s="5" t="s">
        <v>894</v>
      </c>
    </row>
    <row r="331" spans="1:9">
      <c r="A331" s="1" t="s">
        <v>377</v>
      </c>
      <c r="B331" s="17">
        <f t="shared" si="15"/>
        <v>70296084.04901503</v>
      </c>
      <c r="D331" s="8">
        <f t="shared" si="16"/>
        <v>5.7747764060918404E-13</v>
      </c>
      <c r="F331" s="2">
        <f t="shared" si="14"/>
        <v>4.0594416760690098E-5</v>
      </c>
      <c r="H331" s="2">
        <f>SUM(F$4:F331)</f>
        <v>217.34893439655994</v>
      </c>
      <c r="I331" s="5" t="s">
        <v>895</v>
      </c>
    </row>
    <row r="332" spans="1:9">
      <c r="A332" s="1" t="s">
        <v>378</v>
      </c>
      <c r="B332" s="17">
        <f t="shared" si="15"/>
        <v>73810888.251465783</v>
      </c>
      <c r="D332" s="8">
        <f t="shared" si="16"/>
        <v>5.2979600055888444E-13</v>
      </c>
      <c r="F332" s="2">
        <f t="shared" si="14"/>
        <v>3.910471339332532E-5</v>
      </c>
      <c r="H332" s="2">
        <f>SUM(F$4:F332)</f>
        <v>217.34897350127332</v>
      </c>
      <c r="I332" s="5" t="s">
        <v>896</v>
      </c>
    </row>
    <row r="333" spans="1:9">
      <c r="A333" s="1" t="s">
        <v>379</v>
      </c>
      <c r="B333" s="17">
        <f t="shared" si="15"/>
        <v>77501432.664039075</v>
      </c>
      <c r="D333" s="8">
        <f t="shared" si="16"/>
        <v>4.8605137665952698E-13</v>
      </c>
      <c r="F333" s="2">
        <f t="shared" si="14"/>
        <v>3.7669678039441828E-5</v>
      </c>
      <c r="H333" s="2">
        <f>SUM(F$4:F333)</f>
        <v>217.34901117095137</v>
      </c>
      <c r="I333" s="5" t="s">
        <v>897</v>
      </c>
    </row>
    <row r="334" spans="1:9">
      <c r="A334" s="1" t="s">
        <v>380</v>
      </c>
      <c r="B334" s="17">
        <f t="shared" si="15"/>
        <v>81376504.297241032</v>
      </c>
      <c r="D334" s="8">
        <f t="shared" si="16"/>
        <v>4.4591869418305226E-13</v>
      </c>
      <c r="F334" s="2">
        <f t="shared" si="14"/>
        <v>3.628730453340726E-5</v>
      </c>
      <c r="H334" s="2">
        <f>SUM(F$4:F334)</f>
        <v>217.34904745825591</v>
      </c>
      <c r="I334" s="5" t="s">
        <v>898</v>
      </c>
    </row>
    <row r="335" spans="1:9">
      <c r="A335" s="1" t="s">
        <v>381</v>
      </c>
      <c r="B335" s="17">
        <f t="shared" si="15"/>
        <v>85445329.512103081</v>
      </c>
      <c r="D335" s="8">
        <f t="shared" si="16"/>
        <v>4.0909971943399287E-13</v>
      </c>
      <c r="F335" s="2">
        <f t="shared" si="14"/>
        <v>3.4955660330346439E-5</v>
      </c>
      <c r="H335" s="2">
        <f>SUM(F$4:F335)</f>
        <v>217.34908241391625</v>
      </c>
      <c r="I335" s="5" t="s">
        <v>899</v>
      </c>
    </row>
    <row r="336" spans="1:9">
      <c r="A336" s="1" t="s">
        <v>382</v>
      </c>
      <c r="B336" s="17">
        <f t="shared" si="15"/>
        <v>89717595.987708241</v>
      </c>
      <c r="D336" s="8">
        <f t="shared" si="16"/>
        <v>3.7532084351742461E-13</v>
      </c>
      <c r="F336" s="2">
        <f t="shared" ref="F336:F399" si="17">B336*D336</f>
        <v>3.367288380446217E-5</v>
      </c>
      <c r="H336" s="2">
        <f>SUM(F$4:F336)</f>
        <v>217.34911608680005</v>
      </c>
      <c r="I336" s="5" t="s">
        <v>900</v>
      </c>
    </row>
    <row r="337" spans="1:9">
      <c r="A337" s="1" t="s">
        <v>383</v>
      </c>
      <c r="B337" s="17">
        <f t="shared" ref="B337:B400" si="18">B336*(1+5%)</f>
        <v>94203475.787093654</v>
      </c>
      <c r="D337" s="8">
        <f t="shared" ref="D337:D400" si="19">D336/(1+9%)</f>
        <v>3.4433104909855464E-13</v>
      </c>
      <c r="F337" s="2">
        <f t="shared" si="17"/>
        <v>3.2437181646500251E-5</v>
      </c>
      <c r="H337" s="2">
        <f>SUM(F$4:F337)</f>
        <v>217.34914852398171</v>
      </c>
      <c r="I337" s="5" t="s">
        <v>901</v>
      </c>
    </row>
    <row r="338" spans="1:9">
      <c r="A338" s="1" t="s">
        <v>384</v>
      </c>
      <c r="B338" s="17">
        <f t="shared" si="18"/>
        <v>98913649.576448336</v>
      </c>
      <c r="D338" s="8">
        <f t="shared" si="19"/>
        <v>3.1590004504454551E-13</v>
      </c>
      <c r="F338" s="2">
        <f t="shared" si="17"/>
        <v>3.1246826356720416E-5</v>
      </c>
      <c r="H338" s="2">
        <f>SUM(F$4:F338)</f>
        <v>217.34917977080806</v>
      </c>
      <c r="I338" s="5" t="s">
        <v>902</v>
      </c>
    </row>
    <row r="339" spans="1:9">
      <c r="A339" s="1" t="s">
        <v>385</v>
      </c>
      <c r="B339" s="17">
        <f t="shared" si="18"/>
        <v>103859332.05527076</v>
      </c>
      <c r="D339" s="8">
        <f t="shared" si="19"/>
        <v>2.89816555086739E-13</v>
      </c>
      <c r="F339" s="2">
        <f t="shared" si="17"/>
        <v>3.0100153829868297E-5</v>
      </c>
      <c r="H339" s="2">
        <f>SUM(F$4:F339)</f>
        <v>217.34920987096189</v>
      </c>
      <c r="I339" s="5" t="s">
        <v>903</v>
      </c>
    </row>
    <row r="340" spans="1:9">
      <c r="A340" s="1" t="s">
        <v>386</v>
      </c>
      <c r="B340" s="17">
        <f t="shared" si="18"/>
        <v>109052298.65803431</v>
      </c>
      <c r="D340" s="8">
        <f t="shared" si="19"/>
        <v>2.6588674778599907E-13</v>
      </c>
      <c r="F340" s="2">
        <f t="shared" si="17"/>
        <v>2.8995561028772212E-5</v>
      </c>
      <c r="H340" s="2">
        <f>SUM(F$4:F340)</f>
        <v>217.34923886652291</v>
      </c>
      <c r="I340" s="5" t="s">
        <v>904</v>
      </c>
    </row>
    <row r="341" spans="1:9">
      <c r="A341" s="1" t="s">
        <v>387</v>
      </c>
      <c r="B341" s="17">
        <f t="shared" si="18"/>
        <v>114504913.59093603</v>
      </c>
      <c r="D341" s="8">
        <f t="shared" si="19"/>
        <v>2.4393279613394407E-13</v>
      </c>
      <c r="F341" s="2">
        <f t="shared" si="17"/>
        <v>2.7931503743312682E-5</v>
      </c>
      <c r="H341" s="2">
        <f>SUM(F$4:F341)</f>
        <v>217.34926679802666</v>
      </c>
      <c r="I341" s="5" t="s">
        <v>905</v>
      </c>
    </row>
    <row r="342" spans="1:9">
      <c r="A342" s="1" t="s">
        <v>388</v>
      </c>
      <c r="B342" s="17">
        <f t="shared" si="18"/>
        <v>120230159.27048284</v>
      </c>
      <c r="D342" s="8">
        <f t="shared" si="19"/>
        <v>2.237915560861872E-13</v>
      </c>
      <c r="F342" s="2">
        <f t="shared" si="17"/>
        <v>2.690649443163148E-5</v>
      </c>
      <c r="H342" s="2">
        <f>SUM(F$4:F342)</f>
        <v>217.3492937045211</v>
      </c>
      <c r="I342" s="5" t="s">
        <v>906</v>
      </c>
    </row>
    <row r="343" spans="1:9">
      <c r="A343" s="1" t="s">
        <v>389</v>
      </c>
      <c r="B343" s="17">
        <f t="shared" si="18"/>
        <v>126241667.23400699</v>
      </c>
      <c r="D343" s="8">
        <f t="shared" si="19"/>
        <v>2.0531335420751119E-13</v>
      </c>
      <c r="F343" s="2">
        <f t="shared" si="17"/>
        <v>2.5919100140562435E-5</v>
      </c>
      <c r="H343" s="2">
        <f>SUM(F$4:F343)</f>
        <v>217.34931962362126</v>
      </c>
      <c r="I343" s="5" t="s">
        <v>907</v>
      </c>
    </row>
    <row r="344" spans="1:9">
      <c r="A344" s="1" t="s">
        <v>390</v>
      </c>
      <c r="B344" s="17">
        <f t="shared" si="18"/>
        <v>132553750.59570734</v>
      </c>
      <c r="D344" s="8">
        <f t="shared" si="19"/>
        <v>1.8836087541973501E-13</v>
      </c>
      <c r="F344" s="2">
        <f t="shared" si="17"/>
        <v>2.4967940502376655E-5</v>
      </c>
      <c r="H344" s="2">
        <f>SUM(F$4:F344)</f>
        <v>217.34934459156176</v>
      </c>
      <c r="I344" s="5" t="s">
        <v>908</v>
      </c>
    </row>
    <row r="345" spans="1:9">
      <c r="A345" s="1" t="s">
        <v>391</v>
      </c>
      <c r="B345" s="17">
        <f t="shared" si="18"/>
        <v>139181438.12549272</v>
      </c>
      <c r="D345" s="8">
        <f t="shared" si="19"/>
        <v>1.7280814258691283E-13</v>
      </c>
      <c r="F345" s="2">
        <f t="shared" si="17"/>
        <v>2.4051685805041734E-5</v>
      </c>
      <c r="H345" s="2">
        <f>SUM(F$4:F345)</f>
        <v>217.34936864324757</v>
      </c>
      <c r="I345" s="5" t="s">
        <v>909</v>
      </c>
    </row>
    <row r="346" spans="1:9">
      <c r="A346" s="1" t="s">
        <v>392</v>
      </c>
      <c r="B346" s="17">
        <f t="shared" si="18"/>
        <v>146140510.03176737</v>
      </c>
      <c r="D346" s="8">
        <f t="shared" si="19"/>
        <v>1.585395803549659E-13</v>
      </c>
      <c r="F346" s="2">
        <f t="shared" si="17"/>
        <v>2.3169055133297082E-5</v>
      </c>
      <c r="H346" s="2">
        <f>SUM(F$4:F346)</f>
        <v>217.34939181230271</v>
      </c>
      <c r="I346" s="5" t="s">
        <v>910</v>
      </c>
    </row>
    <row r="347" spans="1:9">
      <c r="A347" s="1" t="s">
        <v>393</v>
      </c>
      <c r="B347" s="17">
        <f t="shared" si="18"/>
        <v>153447535.53335574</v>
      </c>
      <c r="D347" s="8">
        <f t="shared" si="19"/>
        <v>1.4544915628895952E-13</v>
      </c>
      <c r="F347" s="2">
        <f t="shared" si="17"/>
        <v>2.231881457794673E-5</v>
      </c>
      <c r="H347" s="2">
        <f>SUM(F$4:F347)</f>
        <v>217.3494141311173</v>
      </c>
      <c r="I347" s="5" t="s">
        <v>911</v>
      </c>
    </row>
    <row r="348" spans="1:9">
      <c r="A348" s="1" t="s">
        <v>394</v>
      </c>
      <c r="B348" s="17">
        <f t="shared" si="18"/>
        <v>161119912.31002355</v>
      </c>
      <c r="D348" s="8">
        <f t="shared" si="19"/>
        <v>1.3343959292565093E-13</v>
      </c>
      <c r="F348" s="2">
        <f t="shared" si="17"/>
        <v>2.1499775510866118E-5</v>
      </c>
      <c r="H348" s="2">
        <f>SUM(F$4:F348)</f>
        <v>217.3494356308928</v>
      </c>
      <c r="I348" s="5" t="s">
        <v>912</v>
      </c>
    </row>
    <row r="349" spans="1:9">
      <c r="A349" s="1" t="s">
        <v>395</v>
      </c>
      <c r="B349" s="17">
        <f t="shared" si="18"/>
        <v>169175907.92552474</v>
      </c>
      <c r="D349" s="8">
        <f t="shared" si="19"/>
        <v>1.2242164488591829E-13</v>
      </c>
      <c r="F349" s="2">
        <f t="shared" si="17"/>
        <v>2.0710792923311401E-5</v>
      </c>
      <c r="H349" s="2">
        <f>SUM(F$4:F349)</f>
        <v>217.34945634168571</v>
      </c>
      <c r="I349" s="5" t="s">
        <v>913</v>
      </c>
    </row>
    <row r="350" spans="1:9">
      <c r="A350" s="1" t="s">
        <v>396</v>
      </c>
      <c r="B350" s="17">
        <f t="shared" si="18"/>
        <v>177634703.32180098</v>
      </c>
      <c r="D350" s="8">
        <f t="shared" si="19"/>
        <v>1.1231343567515439E-13</v>
      </c>
      <c r="F350" s="2">
        <f t="shared" si="17"/>
        <v>1.995076382520823E-5</v>
      </c>
      <c r="H350" s="2">
        <f>SUM(F$4:F350)</f>
        <v>217.34947629244954</v>
      </c>
      <c r="I350" s="5" t="s">
        <v>914</v>
      </c>
    </row>
    <row r="351" spans="1:9">
      <c r="A351" s="1" t="s">
        <v>397</v>
      </c>
      <c r="B351" s="17">
        <f t="shared" si="18"/>
        <v>186516438.48789105</v>
      </c>
      <c r="D351" s="8">
        <f t="shared" si="19"/>
        <v>1.030398492432609E-13</v>
      </c>
      <c r="F351" s="2">
        <f t="shared" si="17"/>
        <v>1.9218625703182241E-5</v>
      </c>
      <c r="H351" s="2">
        <f>SUM(F$4:F351)</f>
        <v>217.34949551107525</v>
      </c>
      <c r="I351" s="5" t="s">
        <v>915</v>
      </c>
    </row>
    <row r="352" spans="1:9">
      <c r="A352" s="1" t="s">
        <v>398</v>
      </c>
      <c r="B352" s="17">
        <f t="shared" si="18"/>
        <v>195842260.4122856</v>
      </c>
      <c r="D352" s="8">
        <f t="shared" si="19"/>
        <v>9.4531971782808165E-14</v>
      </c>
      <c r="F352" s="2">
        <f t="shared" si="17"/>
        <v>1.8513355035175552E-5</v>
      </c>
      <c r="H352" s="2">
        <f>SUM(F$4:F352)</f>
        <v>217.34951402443028</v>
      </c>
      <c r="I352" s="5" t="s">
        <v>916</v>
      </c>
    </row>
    <row r="353" spans="1:9">
      <c r="A353" s="1" t="s">
        <v>399</v>
      </c>
      <c r="B353" s="17">
        <f t="shared" si="18"/>
        <v>205634373.43289989</v>
      </c>
      <c r="D353" s="8">
        <f t="shared" si="19"/>
        <v>8.6726579617255187E-14</v>
      </c>
      <c r="F353" s="2">
        <f t="shared" si="17"/>
        <v>1.7833965859572779E-5</v>
      </c>
      <c r="H353" s="2">
        <f>SUM(F$4:F353)</f>
        <v>217.34953185839615</v>
      </c>
      <c r="I353" s="5" t="s">
        <v>917</v>
      </c>
    </row>
    <row r="354" spans="1:9">
      <c r="A354" s="1" t="s">
        <v>400</v>
      </c>
      <c r="B354" s="17">
        <f t="shared" si="18"/>
        <v>215916092.10454491</v>
      </c>
      <c r="D354" s="8">
        <f t="shared" si="19"/>
        <v>7.9565669373628606E-14</v>
      </c>
      <c r="F354" s="2">
        <f t="shared" si="17"/>
        <v>1.7179508396836161E-5</v>
      </c>
      <c r="H354" s="2">
        <f>SUM(F$4:F354)</f>
        <v>217.34954903790455</v>
      </c>
      <c r="I354" s="5" t="s">
        <v>918</v>
      </c>
    </row>
    <row r="355" spans="1:9">
      <c r="A355" s="1" t="s">
        <v>401</v>
      </c>
      <c r="B355" s="17">
        <f t="shared" si="18"/>
        <v>226711896.70977217</v>
      </c>
      <c r="D355" s="8">
        <f t="shared" si="19"/>
        <v>7.2996026948283119E-14</v>
      </c>
      <c r="F355" s="2">
        <f t="shared" si="17"/>
        <v>1.6549067721722907E-5</v>
      </c>
      <c r="H355" s="2">
        <f>SUM(F$4:F355)</f>
        <v>217.34956558697226</v>
      </c>
      <c r="I355" s="5" t="s">
        <v>919</v>
      </c>
    </row>
    <row r="356" spans="1:9">
      <c r="A356" s="1" t="s">
        <v>402</v>
      </c>
      <c r="B356" s="17">
        <f t="shared" si="18"/>
        <v>238047491.54526079</v>
      </c>
      <c r="D356" s="8">
        <f t="shared" si="19"/>
        <v>6.696883206264506E-14</v>
      </c>
      <c r="F356" s="2">
        <f t="shared" si="17"/>
        <v>1.5941762484228488E-5</v>
      </c>
      <c r="H356" s="2">
        <f>SUM(F$4:F356)</f>
        <v>217.34958152873475</v>
      </c>
      <c r="I356" s="5" t="s">
        <v>920</v>
      </c>
    </row>
    <row r="357" spans="1:9">
      <c r="A357" s="1" t="s">
        <v>403</v>
      </c>
      <c r="B357" s="17">
        <f t="shared" si="18"/>
        <v>249949866.12252384</v>
      </c>
      <c r="D357" s="8">
        <f t="shared" si="19"/>
        <v>6.143929547031657E-14</v>
      </c>
      <c r="F357" s="2">
        <f t="shared" si="17"/>
        <v>1.5356743677467813E-5</v>
      </c>
      <c r="H357" s="2">
        <f>SUM(F$4:F357)</f>
        <v>217.34959688547843</v>
      </c>
      <c r="I357" s="5" t="s">
        <v>921</v>
      </c>
    </row>
    <row r="358" spans="1:9">
      <c r="A358" s="1" t="s">
        <v>404</v>
      </c>
      <c r="B358" s="17">
        <f t="shared" si="18"/>
        <v>262447359.42865005</v>
      </c>
      <c r="D358" s="8">
        <f t="shared" si="19"/>
        <v>5.636632611955648E-14</v>
      </c>
      <c r="F358" s="2">
        <f t="shared" si="17"/>
        <v>1.4793193450771744E-5</v>
      </c>
      <c r="H358" s="2">
        <f>SUM(F$4:F358)</f>
        <v>217.34961167867189</v>
      </c>
      <c r="I358" s="5" t="s">
        <v>922</v>
      </c>
    </row>
    <row r="359" spans="1:9">
      <c r="A359" s="1" t="s">
        <v>405</v>
      </c>
      <c r="B359" s="17">
        <f t="shared" si="18"/>
        <v>275569727.40008259</v>
      </c>
      <c r="D359" s="8">
        <f t="shared" si="19"/>
        <v>5.1712225797758232E-14</v>
      </c>
      <c r="F359" s="2">
        <f t="shared" si="17"/>
        <v>1.4250323966339755E-5</v>
      </c>
      <c r="H359" s="2">
        <f>SUM(F$4:F359)</f>
        <v>217.34962592899586</v>
      </c>
      <c r="I359" s="5" t="s">
        <v>923</v>
      </c>
    </row>
    <row r="360" spans="1:9">
      <c r="A360" s="1" t="s">
        <v>406</v>
      </c>
      <c r="B360" s="17">
        <f t="shared" si="18"/>
        <v>289348213.77008671</v>
      </c>
      <c r="D360" s="8">
        <f t="shared" si="19"/>
        <v>4.7442408988769018E-14</v>
      </c>
      <c r="F360" s="2">
        <f t="shared" si="17"/>
        <v>1.3727376297850221E-5</v>
      </c>
      <c r="H360" s="2">
        <f>SUM(F$4:F360)</f>
        <v>217.34963965637215</v>
      </c>
      <c r="I360" s="5" t="s">
        <v>924</v>
      </c>
    </row>
    <row r="361" spans="1:9">
      <c r="A361" s="1" t="s">
        <v>407</v>
      </c>
      <c r="B361" s="17">
        <f t="shared" si="18"/>
        <v>303815624.45859104</v>
      </c>
      <c r="D361" s="8">
        <f t="shared" si="19"/>
        <v>4.3525145861255979E-14</v>
      </c>
      <c r="F361" s="2">
        <f t="shared" si="17"/>
        <v>1.3223619369488745E-5</v>
      </c>
      <c r="H361" s="2">
        <f>SUM(F$4:F361)</f>
        <v>217.34965287999151</v>
      </c>
      <c r="I361" s="5" t="s">
        <v>925</v>
      </c>
    </row>
    <row r="362" spans="1:9">
      <c r="A362" s="1" t="s">
        <v>408</v>
      </c>
      <c r="B362" s="17">
        <f t="shared" si="18"/>
        <v>319006405.68152058</v>
      </c>
      <c r="D362" s="8">
        <f t="shared" si="19"/>
        <v>3.9931326478216494E-14</v>
      </c>
      <c r="F362" s="2">
        <f t="shared" si="17"/>
        <v>1.2738348933911175E-5</v>
      </c>
      <c r="H362" s="2">
        <f>SUM(F$4:F362)</f>
        <v>217.34966561834045</v>
      </c>
      <c r="I362" s="5" t="s">
        <v>926</v>
      </c>
    </row>
    <row r="363" spans="1:9">
      <c r="A363" s="1" t="s">
        <v>409</v>
      </c>
      <c r="B363" s="17">
        <f t="shared" si="18"/>
        <v>334956725.96559662</v>
      </c>
      <c r="D363" s="8">
        <f t="shared" si="19"/>
        <v>3.6634244475427974E-14</v>
      </c>
      <c r="F363" s="2">
        <f t="shared" si="17"/>
        <v>1.2270886587712599E-5</v>
      </c>
      <c r="H363" s="2">
        <f>SUM(F$4:F363)</f>
        <v>217.34967788922705</v>
      </c>
      <c r="I363" s="5" t="s">
        <v>927</v>
      </c>
    </row>
    <row r="364" spans="1:9">
      <c r="A364" s="1" t="s">
        <v>410</v>
      </c>
      <c r="B364" s="17">
        <f t="shared" si="18"/>
        <v>351704562.26387644</v>
      </c>
      <c r="D364" s="8">
        <f t="shared" si="19"/>
        <v>3.3609398601310067E-14</v>
      </c>
      <c r="F364" s="2">
        <f t="shared" si="17"/>
        <v>1.1820578823025899E-5</v>
      </c>
      <c r="H364" s="2">
        <f>SUM(F$4:F364)</f>
        <v>217.34968970980589</v>
      </c>
      <c r="I364" s="5" t="s">
        <v>928</v>
      </c>
    </row>
    <row r="365" spans="1:9">
      <c r="A365" s="1" t="s">
        <v>411</v>
      </c>
      <c r="B365" s="17">
        <f t="shared" si="18"/>
        <v>369289790.37707025</v>
      </c>
      <c r="D365" s="8">
        <f t="shared" si="19"/>
        <v>3.0834310643403726E-14</v>
      </c>
      <c r="F365" s="2">
        <f t="shared" si="17"/>
        <v>1.1386796113924029E-5</v>
      </c>
      <c r="H365" s="2">
        <f>SUM(F$4:F365)</f>
        <v>217.34970109660199</v>
      </c>
      <c r="I365" s="5" t="s">
        <v>929</v>
      </c>
    </row>
    <row r="366" spans="1:9">
      <c r="A366" s="1" t="s">
        <v>412</v>
      </c>
      <c r="B366" s="17">
        <f t="shared" si="18"/>
        <v>387754279.89592379</v>
      </c>
      <c r="D366" s="8">
        <f t="shared" si="19"/>
        <v>2.8288358388443785E-14</v>
      </c>
      <c r="F366" s="2">
        <f t="shared" si="17"/>
        <v>1.0968932036348835E-5</v>
      </c>
      <c r="H366" s="2">
        <f>SUM(F$4:F366)</f>
        <v>217.34971206553402</v>
      </c>
      <c r="I366" s="5" t="s">
        <v>930</v>
      </c>
    </row>
    <row r="367" spans="1:9">
      <c r="A367" s="1" t="s">
        <v>413</v>
      </c>
      <c r="B367" s="17">
        <f t="shared" si="18"/>
        <v>407141993.89072001</v>
      </c>
      <c r="D367" s="8">
        <f t="shared" si="19"/>
        <v>2.5952622374719066E-14</v>
      </c>
      <c r="F367" s="2">
        <f t="shared" si="17"/>
        <v>1.0566402420336034E-5</v>
      </c>
      <c r="H367" s="2">
        <f>SUM(F$4:F367)</f>
        <v>217.34972263193643</v>
      </c>
      <c r="I367" s="5" t="s">
        <v>931</v>
      </c>
    </row>
    <row r="368" spans="1:9">
      <c r="A368" s="1" t="s">
        <v>414</v>
      </c>
      <c r="B368" s="17">
        <f t="shared" si="18"/>
        <v>427499093.58525604</v>
      </c>
      <c r="D368" s="8">
        <f t="shared" si="19"/>
        <v>2.3809745297907398E-14</v>
      </c>
      <c r="F368" s="2">
        <f t="shared" si="17"/>
        <v>1.0178644533351226E-5</v>
      </c>
      <c r="H368" s="2">
        <f>SUM(F$4:F368)</f>
        <v>217.34973281058097</v>
      </c>
      <c r="I368" s="5" t="s">
        <v>932</v>
      </c>
    </row>
    <row r="369" spans="1:9">
      <c r="A369" s="1" t="s">
        <v>415</v>
      </c>
      <c r="B369" s="17">
        <f t="shared" si="18"/>
        <v>448874048.26451886</v>
      </c>
      <c r="D369" s="8">
        <f t="shared" si="19"/>
        <v>2.1843803025603116E-14</v>
      </c>
      <c r="F369" s="2">
        <f t="shared" si="17"/>
        <v>9.8051162935952169E-6</v>
      </c>
      <c r="H369" s="2">
        <f>SUM(F$4:F369)</f>
        <v>217.34974261569727</v>
      </c>
      <c r="I369" s="5" t="s">
        <v>933</v>
      </c>
    </row>
    <row r="370" spans="1:9">
      <c r="A370" s="1" t="s">
        <v>416</v>
      </c>
      <c r="B370" s="17">
        <f t="shared" si="18"/>
        <v>471317750.67774481</v>
      </c>
      <c r="D370" s="8">
        <f t="shared" si="19"/>
        <v>2.0040186262021207E-14</v>
      </c>
      <c r="F370" s="2">
        <f t="shared" si="17"/>
        <v>9.4452955121788771E-6</v>
      </c>
      <c r="H370" s="2">
        <f>SUM(F$4:F370)</f>
        <v>217.34975206099278</v>
      </c>
      <c r="I370" s="5" t="s">
        <v>934</v>
      </c>
    </row>
    <row r="371" spans="1:9">
      <c r="A371" s="1" t="s">
        <v>417</v>
      </c>
      <c r="B371" s="17">
        <f t="shared" si="18"/>
        <v>494883638.21163207</v>
      </c>
      <c r="D371" s="8">
        <f t="shared" si="19"/>
        <v>1.8385491983505693E-14</v>
      </c>
      <c r="F371" s="2">
        <f t="shared" si="17"/>
        <v>9.0986791631080938E-6</v>
      </c>
      <c r="H371" s="2">
        <f>SUM(F$4:F371)</f>
        <v>217.34976115967194</v>
      </c>
      <c r="I371" s="5" t="s">
        <v>935</v>
      </c>
    </row>
    <row r="372" spans="1:9">
      <c r="A372" s="1" t="s">
        <v>418</v>
      </c>
      <c r="B372" s="17">
        <f t="shared" si="18"/>
        <v>519627820.12221372</v>
      </c>
      <c r="D372" s="8">
        <f t="shared" si="19"/>
        <v>1.6867423838078617E-14</v>
      </c>
      <c r="F372" s="2">
        <f t="shared" si="17"/>
        <v>8.7647826800582557E-6</v>
      </c>
      <c r="H372" s="2">
        <f>SUM(F$4:F372)</f>
        <v>217.34976992445462</v>
      </c>
      <c r="I372" s="5" t="s">
        <v>936</v>
      </c>
    </row>
    <row r="373" spans="1:9">
      <c r="A373" s="1" t="s">
        <v>419</v>
      </c>
      <c r="B373" s="17">
        <f t="shared" si="18"/>
        <v>545609211.12832439</v>
      </c>
      <c r="D373" s="8">
        <f t="shared" si="19"/>
        <v>1.5474700768879464E-14</v>
      </c>
      <c r="F373" s="2">
        <f t="shared" si="17"/>
        <v>8.4431392789551991E-6</v>
      </c>
      <c r="H373" s="2">
        <f>SUM(F$4:F373)</f>
        <v>217.3497783675939</v>
      </c>
      <c r="I373" s="5" t="s">
        <v>937</v>
      </c>
    </row>
    <row r="374" spans="1:9">
      <c r="A374" s="1" t="s">
        <v>420</v>
      </c>
      <c r="B374" s="17">
        <f t="shared" si="18"/>
        <v>572889671.68474066</v>
      </c>
      <c r="D374" s="8">
        <f t="shared" si="19"/>
        <v>1.4196973182458223E-14</v>
      </c>
      <c r="F374" s="2">
        <f t="shared" si="17"/>
        <v>8.1332993054155586E-6</v>
      </c>
      <c r="H374" s="2">
        <f>SUM(F$4:F374)</f>
        <v>217.3497865008932</v>
      </c>
      <c r="I374" s="5" t="s">
        <v>938</v>
      </c>
    </row>
    <row r="375" spans="1:9">
      <c r="A375" s="1" t="s">
        <v>421</v>
      </c>
      <c r="B375" s="17">
        <f t="shared" si="18"/>
        <v>601534155.26897776</v>
      </c>
      <c r="D375" s="8">
        <f t="shared" si="19"/>
        <v>1.3024746038952497E-14</v>
      </c>
      <c r="F375" s="2">
        <f t="shared" si="17"/>
        <v>7.8348296061342538E-6</v>
      </c>
      <c r="H375" s="2">
        <f>SUM(F$4:F375)</f>
        <v>217.34979433572281</v>
      </c>
      <c r="I375" s="5" t="s">
        <v>939</v>
      </c>
    </row>
    <row r="376" spans="1:9">
      <c r="A376" s="1" t="s">
        <v>422</v>
      </c>
      <c r="B376" s="17">
        <f t="shared" si="18"/>
        <v>631610863.03242671</v>
      </c>
      <c r="D376" s="8">
        <f t="shared" si="19"/>
        <v>1.1949308292616969E-14</v>
      </c>
      <c r="F376" s="2">
        <f t="shared" si="17"/>
        <v>7.5473129233403371E-6</v>
      </c>
      <c r="H376" s="2">
        <f>SUM(F$4:F376)</f>
        <v>217.34980188303572</v>
      </c>
      <c r="I376" s="5" t="s">
        <v>940</v>
      </c>
    </row>
    <row r="377" spans="1:9">
      <c r="A377" s="1" t="s">
        <v>423</v>
      </c>
      <c r="B377" s="17">
        <f t="shared" si="18"/>
        <v>663191406.18404806</v>
      </c>
      <c r="D377" s="8">
        <f t="shared" si="19"/>
        <v>1.0962668158364192E-14</v>
      </c>
      <c r="F377" s="2">
        <f t="shared" si="17"/>
        <v>7.2703473114746365E-6</v>
      </c>
      <c r="H377" s="2">
        <f>SUM(F$4:F377)</f>
        <v>217.34980915338303</v>
      </c>
      <c r="I377" s="5" t="s">
        <v>941</v>
      </c>
    </row>
    <row r="378" spans="1:9">
      <c r="A378" s="1" t="s">
        <v>424</v>
      </c>
      <c r="B378" s="17">
        <f t="shared" si="18"/>
        <v>696350976.49325049</v>
      </c>
      <c r="D378" s="8">
        <f t="shared" si="19"/>
        <v>1.00574937232699E-14</v>
      </c>
      <c r="F378" s="2">
        <f t="shared" si="17"/>
        <v>7.003545575273732E-6</v>
      </c>
      <c r="H378" s="2">
        <f>SUM(F$4:F378)</f>
        <v>217.3498161569286</v>
      </c>
      <c r="I378" s="5" t="s">
        <v>942</v>
      </c>
    </row>
    <row r="379" spans="1:9">
      <c r="A379" s="1" t="s">
        <v>425</v>
      </c>
      <c r="B379" s="17">
        <f t="shared" si="18"/>
        <v>731168525.31791306</v>
      </c>
      <c r="D379" s="8">
        <f t="shared" si="19"/>
        <v>9.2270584617155042E-15</v>
      </c>
      <c r="F379" s="2">
        <f t="shared" si="17"/>
        <v>6.7465347284746962E-6</v>
      </c>
      <c r="H379" s="2">
        <f>SUM(F$4:F379)</f>
        <v>217.34982290346332</v>
      </c>
      <c r="I379" s="5" t="s">
        <v>943</v>
      </c>
    </row>
    <row r="380" spans="1:9">
      <c r="A380" s="1" t="s">
        <v>426</v>
      </c>
      <c r="B380" s="17">
        <f t="shared" si="18"/>
        <v>767726951.58380878</v>
      </c>
      <c r="D380" s="8">
        <f t="shared" si="19"/>
        <v>8.4651912492802784E-15</v>
      </c>
      <c r="F380" s="2">
        <f t="shared" si="17"/>
        <v>6.4989554723838823E-6</v>
      </c>
      <c r="H380" s="2">
        <f>SUM(F$4:F380)</f>
        <v>217.34982940241881</v>
      </c>
      <c r="I380" s="5" t="s">
        <v>944</v>
      </c>
    </row>
    <row r="381" spans="1:9">
      <c r="A381" s="1" t="s">
        <v>427</v>
      </c>
      <c r="B381" s="17">
        <f t="shared" si="18"/>
        <v>806113299.16299927</v>
      </c>
      <c r="D381" s="8">
        <f t="shared" si="19"/>
        <v>7.7662305039268611E-15</v>
      </c>
      <c r="F381" s="2">
        <f t="shared" si="17"/>
        <v>6.260461693580804E-6</v>
      </c>
      <c r="H381" s="2">
        <f>SUM(F$4:F381)</f>
        <v>217.34983566288051</v>
      </c>
      <c r="I381" s="5" t="s">
        <v>945</v>
      </c>
    </row>
    <row r="382" spans="1:9">
      <c r="A382" s="1" t="s">
        <v>428</v>
      </c>
      <c r="B382" s="17">
        <f t="shared" si="18"/>
        <v>846418964.1211493</v>
      </c>
      <c r="D382" s="8">
        <f t="shared" si="19"/>
        <v>7.1249821136943678E-15</v>
      </c>
      <c r="F382" s="2">
        <f t="shared" si="17"/>
        <v>6.0307199800549036E-6</v>
      </c>
      <c r="H382" s="2">
        <f>SUM(F$4:F382)</f>
        <v>217.3498416936005</v>
      </c>
      <c r="I382" s="5" t="s">
        <v>946</v>
      </c>
    </row>
    <row r="383" spans="1:9">
      <c r="A383" s="1" t="s">
        <v>429</v>
      </c>
      <c r="B383" s="17">
        <f t="shared" si="18"/>
        <v>888739912.32720685</v>
      </c>
      <c r="D383" s="8">
        <f t="shared" si="19"/>
        <v>6.5366808382517132E-15</v>
      </c>
      <c r="F383" s="2">
        <f t="shared" si="17"/>
        <v>5.8094091550987607E-6</v>
      </c>
      <c r="H383" s="2">
        <f>SUM(F$4:F383)</f>
        <v>217.34984750300964</v>
      </c>
      <c r="I383" s="5" t="s">
        <v>947</v>
      </c>
    </row>
    <row r="384" spans="1:9">
      <c r="A384" s="1" t="s">
        <v>430</v>
      </c>
      <c r="B384" s="17">
        <f t="shared" si="18"/>
        <v>933176907.94356728</v>
      </c>
      <c r="D384" s="8">
        <f t="shared" si="19"/>
        <v>5.9969548974786353E-15</v>
      </c>
      <c r="F384" s="2">
        <f t="shared" si="17"/>
        <v>5.596219828306145E-6</v>
      </c>
      <c r="H384" s="2">
        <f>SUM(F$4:F384)</f>
        <v>217.34985309922948</v>
      </c>
      <c r="I384" s="5" t="s">
        <v>948</v>
      </c>
    </row>
    <row r="385" spans="1:9">
      <c r="A385" s="1" t="s">
        <v>431</v>
      </c>
      <c r="B385" s="17">
        <f t="shared" si="18"/>
        <v>979835753.34074569</v>
      </c>
      <c r="D385" s="8">
        <f t="shared" si="19"/>
        <v>5.5017934839253529E-15</v>
      </c>
      <c r="F385" s="2">
        <f t="shared" si="17"/>
        <v>5.3908539630472038E-6</v>
      </c>
      <c r="H385" s="2">
        <f>SUM(F$4:F385)</f>
        <v>217.34985849008345</v>
      </c>
      <c r="I385" s="5" t="s">
        <v>949</v>
      </c>
    </row>
    <row r="386" spans="1:9">
      <c r="A386" s="1" t="s">
        <v>432</v>
      </c>
      <c r="B386" s="17">
        <f t="shared" si="18"/>
        <v>1028827541.0077831</v>
      </c>
      <c r="D386" s="8">
        <f t="shared" si="19"/>
        <v>5.0475169577296814E-15</v>
      </c>
      <c r="F386" s="2">
        <f t="shared" si="17"/>
        <v>5.1930244598161145E-6</v>
      </c>
      <c r="H386" s="2">
        <f>SUM(F$4:F386)</f>
        <v>217.34986368310791</v>
      </c>
      <c r="I386" s="5" t="s">
        <v>950</v>
      </c>
    </row>
    <row r="387" spans="1:9">
      <c r="A387" s="1" t="s">
        <v>433</v>
      </c>
      <c r="B387" s="17">
        <f t="shared" si="18"/>
        <v>1080268918.0581722</v>
      </c>
      <c r="D387" s="8">
        <f t="shared" si="19"/>
        <v>4.6307495025042948E-15</v>
      </c>
      <c r="F387" s="2">
        <f t="shared" si="17"/>
        <v>5.0024547548687339E-6</v>
      </c>
      <c r="H387" s="2">
        <f>SUM(F$4:F387)</f>
        <v>217.34986868556265</v>
      </c>
      <c r="I387" s="5" t="s">
        <v>951</v>
      </c>
    </row>
    <row r="388" spans="1:9">
      <c r="A388" s="1" t="s">
        <v>434</v>
      </c>
      <c r="B388" s="17">
        <f t="shared" si="18"/>
        <v>1134282363.9610808</v>
      </c>
      <c r="D388" s="8">
        <f t="shared" si="19"/>
        <v>4.2483940389947653E-15</v>
      </c>
      <c r="F388" s="2">
        <f t="shared" si="17"/>
        <v>4.8188784335891467E-6</v>
      </c>
      <c r="H388" s="2">
        <f>SUM(F$4:F388)</f>
        <v>217.34987350444109</v>
      </c>
      <c r="I388" s="5" t="s">
        <v>952</v>
      </c>
    </row>
    <row r="389" spans="1:9">
      <c r="A389" s="1" t="s">
        <v>435</v>
      </c>
      <c r="B389" s="17">
        <f t="shared" si="18"/>
        <v>1190996482.1591349</v>
      </c>
      <c r="D389" s="8">
        <f t="shared" si="19"/>
        <v>3.8976092100869403E-15</v>
      </c>
      <c r="F389" s="2">
        <f t="shared" si="17"/>
        <v>4.6420388580445903E-6</v>
      </c>
      <c r="H389" s="2">
        <f>SUM(F$4:F389)</f>
        <v>217.34987814647994</v>
      </c>
      <c r="I389" s="5" t="s">
        <v>953</v>
      </c>
    </row>
    <row r="390" spans="1:9">
      <c r="A390" s="1" t="s">
        <v>436</v>
      </c>
      <c r="B390" s="17">
        <f t="shared" si="18"/>
        <v>1250546306.2670918</v>
      </c>
      <c r="D390" s="8">
        <f t="shared" si="19"/>
        <v>3.5757882661348072E-15</v>
      </c>
      <c r="F390" s="2">
        <f t="shared" si="17"/>
        <v>4.4716888082080914E-6</v>
      </c>
      <c r="H390" s="2">
        <f>SUM(F$4:F390)</f>
        <v>217.34988261816875</v>
      </c>
      <c r="I390" s="5" t="s">
        <v>954</v>
      </c>
    </row>
    <row r="391" spans="1:9">
      <c r="A391" s="1" t="s">
        <v>437</v>
      </c>
      <c r="B391" s="17">
        <f t="shared" si="18"/>
        <v>1313073621.5804465</v>
      </c>
      <c r="D391" s="8">
        <f t="shared" si="19"/>
        <v>3.2805396937016575E-15</v>
      </c>
      <c r="F391" s="2">
        <f t="shared" si="17"/>
        <v>4.3075901363472444E-6</v>
      </c>
      <c r="H391" s="2">
        <f>SUM(F$4:F391)</f>
        <v>217.34988692575888</v>
      </c>
      <c r="I391" s="5" t="s">
        <v>955</v>
      </c>
    </row>
    <row r="392" spans="1:9">
      <c r="A392" s="1" t="s">
        <v>438</v>
      </c>
      <c r="B392" s="17">
        <f t="shared" si="18"/>
        <v>1378727302.6594689</v>
      </c>
      <c r="D392" s="8">
        <f t="shared" si="19"/>
        <v>3.0096694437629884E-15</v>
      </c>
      <c r="F392" s="2">
        <f t="shared" si="17"/>
        <v>4.1495134340959689E-6</v>
      </c>
      <c r="H392" s="2">
        <f>SUM(F$4:F392)</f>
        <v>217.34989107527232</v>
      </c>
      <c r="I392" s="5" t="s">
        <v>956</v>
      </c>
    </row>
    <row r="393" spans="1:9">
      <c r="A393" s="1" t="s">
        <v>439</v>
      </c>
      <c r="B393" s="17">
        <f t="shared" si="18"/>
        <v>1447663667.7924423</v>
      </c>
      <c r="D393" s="8">
        <f t="shared" si="19"/>
        <v>2.7611646273054938E-15</v>
      </c>
      <c r="F393" s="2">
        <f t="shared" si="17"/>
        <v>3.9972377117438234E-6</v>
      </c>
      <c r="H393" s="2">
        <f>SUM(F$4:F393)</f>
        <v>217.34989507251004</v>
      </c>
      <c r="I393" s="5" t="s">
        <v>957</v>
      </c>
    </row>
    <row r="394" spans="1:9">
      <c r="A394" s="1" t="s">
        <v>440</v>
      </c>
      <c r="B394" s="17">
        <f t="shared" si="18"/>
        <v>1520046851.1820645</v>
      </c>
      <c r="D394" s="8">
        <f t="shared" si="19"/>
        <v>2.5331785571610033E-15</v>
      </c>
      <c r="F394" s="2">
        <f t="shared" si="17"/>
        <v>3.8505500892945088E-6</v>
      </c>
      <c r="H394" s="2">
        <f>SUM(F$4:F394)</f>
        <v>217.34989892306012</v>
      </c>
      <c r="I394" s="5" t="s">
        <v>958</v>
      </c>
    </row>
    <row r="395" spans="1:9">
      <c r="A395" s="1" t="s">
        <v>441</v>
      </c>
      <c r="B395" s="17">
        <f t="shared" si="18"/>
        <v>1596049193.7411678</v>
      </c>
      <c r="D395" s="8">
        <f t="shared" si="19"/>
        <v>2.3240170249183517E-15</v>
      </c>
      <c r="F395" s="2">
        <f t="shared" si="17"/>
        <v>3.7092454988616825E-6</v>
      </c>
      <c r="H395" s="2">
        <f>SUM(F$4:F395)</f>
        <v>217.34990263230563</v>
      </c>
      <c r="I395" s="5" t="s">
        <v>959</v>
      </c>
    </row>
    <row r="396" spans="1:9">
      <c r="A396" s="1" t="s">
        <v>442</v>
      </c>
      <c r="B396" s="17">
        <f t="shared" si="18"/>
        <v>1675851653.4282262</v>
      </c>
      <c r="D396" s="8">
        <f t="shared" si="19"/>
        <v>2.1321257109342675E-15</v>
      </c>
      <c r="F396" s="2">
        <f t="shared" si="17"/>
        <v>3.5731263979860244E-6</v>
      </c>
      <c r="H396" s="2">
        <f>SUM(F$4:F396)</f>
        <v>217.34990620543203</v>
      </c>
      <c r="I396" s="5" t="s">
        <v>960</v>
      </c>
    </row>
    <row r="397" spans="1:9">
      <c r="A397" s="1" t="s">
        <v>443</v>
      </c>
      <c r="B397" s="17">
        <f t="shared" si="18"/>
        <v>1759644236.0996375</v>
      </c>
      <c r="D397" s="8">
        <f t="shared" si="19"/>
        <v>1.9560786338846488E-15</v>
      </c>
      <c r="F397" s="2">
        <f t="shared" si="17"/>
        <v>3.4420024934727751E-6</v>
      </c>
      <c r="H397" s="2">
        <f>SUM(F$4:F397)</f>
        <v>217.34990964743452</v>
      </c>
      <c r="I397" s="5" t="s">
        <v>961</v>
      </c>
    </row>
    <row r="398" spans="1:9">
      <c r="A398" s="1" t="s">
        <v>444</v>
      </c>
      <c r="B398" s="17">
        <f t="shared" si="18"/>
        <v>1847626447.9046195</v>
      </c>
      <c r="D398" s="8">
        <f t="shared" si="19"/>
        <v>1.7945675540226135E-15</v>
      </c>
      <c r="F398" s="2">
        <f t="shared" si="17"/>
        <v>3.3156904753636826E-6</v>
      </c>
      <c r="H398" s="2">
        <f>SUM(F$4:F398)</f>
        <v>217.34991296312498</v>
      </c>
      <c r="I398" s="5" t="s">
        <v>962</v>
      </c>
    </row>
    <row r="399" spans="1:9">
      <c r="A399" s="1" t="s">
        <v>445</v>
      </c>
      <c r="B399" s="17">
        <f t="shared" si="18"/>
        <v>1940007770.2998505</v>
      </c>
      <c r="D399" s="8">
        <f t="shared" si="19"/>
        <v>1.6463922513968929E-15</v>
      </c>
      <c r="F399" s="2">
        <f t="shared" si="17"/>
        <v>3.1940137606714373E-6</v>
      </c>
      <c r="H399" s="2">
        <f>SUM(F$4:F399)</f>
        <v>217.34991615713875</v>
      </c>
      <c r="I399" s="5" t="s">
        <v>963</v>
      </c>
    </row>
    <row r="400" spans="1:9">
      <c r="A400" s="1" t="s">
        <v>446</v>
      </c>
      <c r="B400" s="17">
        <f t="shared" si="18"/>
        <v>2037008158.8148432</v>
      </c>
      <c r="D400" s="8">
        <f t="shared" si="19"/>
        <v>1.5104516067861403E-15</v>
      </c>
      <c r="F400" s="2">
        <f t="shared" ref="F400:F463" si="20">B400*D400</f>
        <v>3.0768022465183573E-6</v>
      </c>
      <c r="H400" s="2">
        <f>SUM(F$4:F400)</f>
        <v>217.34991923394099</v>
      </c>
      <c r="I400" s="5" t="s">
        <v>964</v>
      </c>
    </row>
    <row r="401" spans="1:9">
      <c r="A401" s="1" t="s">
        <v>447</v>
      </c>
      <c r="B401" s="17">
        <f t="shared" ref="B401:B464" si="21">B400*(1+5%)</f>
        <v>2138858566.7555854</v>
      </c>
      <c r="D401" s="8">
        <f t="shared" ref="D401:D464" si="22">D400/(1+9%)</f>
        <v>1.3857354190698533E-15</v>
      </c>
      <c r="F401" s="2">
        <f t="shared" si="20"/>
        <v>2.963892072334197E-6</v>
      </c>
      <c r="H401" s="2">
        <f>SUM(F$4:F401)</f>
        <v>217.34992219783308</v>
      </c>
      <c r="I401" s="5" t="s">
        <v>965</v>
      </c>
    </row>
    <row r="402" spans="1:9">
      <c r="A402" s="1" t="s">
        <v>448</v>
      </c>
      <c r="B402" s="17">
        <f t="shared" si="21"/>
        <v>2245801495.0933647</v>
      </c>
      <c r="D402" s="8">
        <f t="shared" si="22"/>
        <v>1.2713168982292231E-15</v>
      </c>
      <c r="F402" s="2">
        <f t="shared" si="20"/>
        <v>2.8551253907806484E-6</v>
      </c>
      <c r="H402" s="2">
        <f>SUM(F$4:F402)</f>
        <v>217.34992505295847</v>
      </c>
      <c r="I402" s="5" t="s">
        <v>966</v>
      </c>
    </row>
    <row r="403" spans="1:9">
      <c r="A403" s="1" t="s">
        <v>449</v>
      </c>
      <c r="B403" s="17">
        <f t="shared" si="21"/>
        <v>2358091569.848033</v>
      </c>
      <c r="D403" s="8">
        <f t="shared" si="22"/>
        <v>1.1663457781919476E-15</v>
      </c>
      <c r="F403" s="2">
        <f t="shared" si="20"/>
        <v>2.7503501470822753E-6</v>
      </c>
      <c r="H403" s="2">
        <f>SUM(F$4:F403)</f>
        <v>217.34992780330862</v>
      </c>
      <c r="I403" s="5" t="s">
        <v>967</v>
      </c>
    </row>
    <row r="404" spans="1:9">
      <c r="A404" s="1" t="s">
        <v>450</v>
      </c>
      <c r="B404" s="17">
        <f t="shared" si="21"/>
        <v>2475996148.3404346</v>
      </c>
      <c r="D404" s="8">
        <f t="shared" si="22"/>
        <v>1.0700419983412363E-15</v>
      </c>
      <c r="F404" s="2">
        <f t="shared" si="20"/>
        <v>2.6494198664554029E-6</v>
      </c>
      <c r="H404" s="2">
        <f>SUM(F$4:F404)</f>
        <v>217.34993045272847</v>
      </c>
      <c r="I404" s="5" t="s">
        <v>968</v>
      </c>
    </row>
    <row r="405" spans="1:9">
      <c r="A405" s="1" t="s">
        <v>451</v>
      </c>
      <c r="B405" s="17">
        <f t="shared" si="21"/>
        <v>2599795955.7574563</v>
      </c>
      <c r="D405" s="8">
        <f t="shared" si="22"/>
        <v>9.8168990673507905E-16</v>
      </c>
      <c r="F405" s="2">
        <f t="shared" si="20"/>
        <v>2.5521934493377732E-6</v>
      </c>
      <c r="H405" s="2">
        <f>SUM(F$4:F405)</f>
        <v>217.34993300492192</v>
      </c>
      <c r="I405" s="5" t="s">
        <v>969</v>
      </c>
    </row>
    <row r="406" spans="1:9">
      <c r="A406" s="1" t="s">
        <v>452</v>
      </c>
      <c r="B406" s="17">
        <f t="shared" si="21"/>
        <v>2729785753.5453291</v>
      </c>
      <c r="D406" s="8">
        <f t="shared" si="22"/>
        <v>9.0063294195878804E-16</v>
      </c>
      <c r="F406" s="2">
        <f t="shared" si="20"/>
        <v>2.4585349741327168E-6</v>
      </c>
      <c r="H406" s="2">
        <f>SUM(F$4:F406)</f>
        <v>217.34993546345689</v>
      </c>
      <c r="I406" s="5" t="s">
        <v>970</v>
      </c>
    </row>
    <row r="407" spans="1:9">
      <c r="A407" s="1" t="s">
        <v>453</v>
      </c>
      <c r="B407" s="17">
        <f t="shared" si="21"/>
        <v>2866275041.2225957</v>
      </c>
      <c r="D407" s="8">
        <f t="shared" si="22"/>
        <v>8.2626875409063117E-16</v>
      </c>
      <c r="F407" s="2">
        <f t="shared" si="20"/>
        <v>2.3683135071920667E-6</v>
      </c>
      <c r="H407" s="2">
        <f>SUM(F$4:F407)</f>
        <v>217.3499378317704</v>
      </c>
      <c r="I407" s="5" t="s">
        <v>971</v>
      </c>
    </row>
    <row r="408" spans="1:9">
      <c r="A408" s="1" t="s">
        <v>454</v>
      </c>
      <c r="B408" s="17">
        <f t="shared" si="21"/>
        <v>3009588793.2837257</v>
      </c>
      <c r="D408" s="8">
        <f t="shared" si="22"/>
        <v>7.580447285235148E-16</v>
      </c>
      <c r="F408" s="2">
        <f t="shared" si="20"/>
        <v>2.2814029197721743E-6</v>
      </c>
      <c r="H408" s="2">
        <f>SUM(F$4:F408)</f>
        <v>217.34994011317332</v>
      </c>
      <c r="I408" s="5" t="s">
        <v>972</v>
      </c>
    </row>
    <row r="409" spans="1:9">
      <c r="A409" s="1" t="s">
        <v>455</v>
      </c>
      <c r="B409" s="17">
        <f t="shared" si="21"/>
        <v>3160068232.9479122</v>
      </c>
      <c r="D409" s="8">
        <f t="shared" si="22"/>
        <v>6.9545387937937136E-16</v>
      </c>
      <c r="F409" s="2">
        <f t="shared" si="20"/>
        <v>2.1976817117071404E-6</v>
      </c>
      <c r="H409" s="2">
        <f>SUM(F$4:F409)</f>
        <v>217.34994231085503</v>
      </c>
      <c r="I409" s="5" t="s">
        <v>973</v>
      </c>
    </row>
    <row r="410" spans="1:9">
      <c r="A410" s="1" t="s">
        <v>456</v>
      </c>
      <c r="B410" s="17">
        <f t="shared" si="21"/>
        <v>3318071644.5953078</v>
      </c>
      <c r="D410" s="8">
        <f t="shared" si="22"/>
        <v>6.3803108199942322E-16</v>
      </c>
      <c r="F410" s="2">
        <f t="shared" si="20"/>
        <v>2.1170328415527498E-6</v>
      </c>
      <c r="H410" s="2">
        <f>SUM(F$4:F410)</f>
        <v>217.34994442788786</v>
      </c>
      <c r="I410" s="5" t="s">
        <v>974</v>
      </c>
    </row>
    <row r="411" spans="1:9">
      <c r="A411" s="1" t="s">
        <v>457</v>
      </c>
      <c r="B411" s="17">
        <f t="shared" si="21"/>
        <v>3483975226.8250732</v>
      </c>
      <c r="D411" s="8">
        <f t="shared" si="22"/>
        <v>5.8534961651323224E-16</v>
      </c>
      <c r="F411" s="2">
        <f t="shared" si="20"/>
        <v>2.0393435629636579E-6</v>
      </c>
      <c r="H411" s="2">
        <f>SUM(F$4:F411)</f>
        <v>217.34994646723143</v>
      </c>
      <c r="I411" s="5" t="s">
        <v>975</v>
      </c>
    </row>
    <row r="412" spans="1:9">
      <c r="A412" s="1" t="s">
        <v>458</v>
      </c>
      <c r="B412" s="17">
        <f t="shared" si="21"/>
        <v>3658173988.166327</v>
      </c>
      <c r="D412" s="8">
        <f t="shared" si="22"/>
        <v>5.3701799680113044E-16</v>
      </c>
      <c r="F412" s="2">
        <f t="shared" si="20"/>
        <v>1.9645052670750833E-6</v>
      </c>
      <c r="H412" s="2">
        <f>SUM(F$4:F412)</f>
        <v>217.34994843173669</v>
      </c>
      <c r="I412" s="5" t="s">
        <v>976</v>
      </c>
    </row>
    <row r="413" spans="1:9">
      <c r="A413" s="1" t="s">
        <v>459</v>
      </c>
      <c r="B413" s="17">
        <f t="shared" si="21"/>
        <v>3841082687.5746436</v>
      </c>
      <c r="D413" s="8">
        <f t="shared" si="22"/>
        <v>4.9267706128544075E-16</v>
      </c>
      <c r="F413" s="2">
        <f t="shared" si="20"/>
        <v>1.8924133306686581E-6</v>
      </c>
      <c r="H413" s="2">
        <f>SUM(F$4:F413)</f>
        <v>217.34995032415003</v>
      </c>
      <c r="I413" s="5" t="s">
        <v>977</v>
      </c>
    </row>
    <row r="414" spans="1:9">
      <c r="A414" s="1" t="s">
        <v>460</v>
      </c>
      <c r="B414" s="17">
        <f t="shared" si="21"/>
        <v>4033136821.9533758</v>
      </c>
      <c r="D414" s="8">
        <f t="shared" si="22"/>
        <v>4.51997303931597E-16</v>
      </c>
      <c r="F414" s="2">
        <f t="shared" si="20"/>
        <v>1.8229669699101753E-6</v>
      </c>
      <c r="H414" s="2">
        <f>SUM(F$4:F414)</f>
        <v>217.34995214711699</v>
      </c>
      <c r="I414" s="5" t="s">
        <v>978</v>
      </c>
    </row>
    <row r="415" spans="1:9">
      <c r="A415" s="1" t="s">
        <v>461</v>
      </c>
      <c r="B415" s="17">
        <f t="shared" si="21"/>
        <v>4234793663.0510449</v>
      </c>
      <c r="D415" s="8">
        <f t="shared" si="22"/>
        <v>4.1467642562531832E-16</v>
      </c>
      <c r="F415" s="2">
        <f t="shared" si="20"/>
        <v>1.7560690994547559E-6</v>
      </c>
      <c r="H415" s="2">
        <f>SUM(F$4:F415)</f>
        <v>217.3499539031861</v>
      </c>
      <c r="I415" s="5" t="s">
        <v>979</v>
      </c>
    </row>
    <row r="416" spans="1:9">
      <c r="A416" s="1" t="s">
        <v>462</v>
      </c>
      <c r="B416" s="17">
        <f t="shared" si="21"/>
        <v>4446533346.2035971</v>
      </c>
      <c r="D416" s="8">
        <f t="shared" si="22"/>
        <v>3.8043708772964979E-16</v>
      </c>
      <c r="F416" s="2">
        <f t="shared" si="20"/>
        <v>1.691626196722471E-6</v>
      </c>
      <c r="H416" s="2">
        <f>SUM(F$4:F416)</f>
        <v>217.34995559481231</v>
      </c>
      <c r="I416" s="5" t="s">
        <v>980</v>
      </c>
    </row>
    <row r="417" spans="1:9">
      <c r="A417" s="1" t="s">
        <v>463</v>
      </c>
      <c r="B417" s="17">
        <f t="shared" si="21"/>
        <v>4668860013.5137768</v>
      </c>
      <c r="D417" s="8">
        <f t="shared" si="22"/>
        <v>3.4902485112811903E-16</v>
      </c>
      <c r="F417" s="2">
        <f t="shared" si="20"/>
        <v>1.6295481711546737E-6</v>
      </c>
      <c r="H417" s="2">
        <f>SUM(F$4:F417)</f>
        <v>217.34995722436048</v>
      </c>
      <c r="I417" s="5" t="s">
        <v>981</v>
      </c>
    </row>
    <row r="418" spans="1:9">
      <c r="A418" s="1" t="s">
        <v>464</v>
      </c>
      <c r="B418" s="17">
        <f t="shared" si="21"/>
        <v>4902303014.1894655</v>
      </c>
      <c r="D418" s="8">
        <f t="shared" si="22"/>
        <v>3.2020628543864128E-16</v>
      </c>
      <c r="F418" s="2">
        <f t="shared" si="20"/>
        <v>1.5697482382682634E-6</v>
      </c>
      <c r="H418" s="2">
        <f>SUM(F$4:F418)</f>
        <v>217.34995879410872</v>
      </c>
      <c r="I418" s="5" t="s">
        <v>982</v>
      </c>
    </row>
    <row r="419" spans="1:9">
      <c r="A419" s="1" t="s">
        <v>465</v>
      </c>
      <c r="B419" s="17">
        <f t="shared" si="21"/>
        <v>5147418164.8989391</v>
      </c>
      <c r="D419" s="8">
        <f t="shared" si="22"/>
        <v>2.9376723434737729E-16</v>
      </c>
      <c r="F419" s="2">
        <f t="shared" si="20"/>
        <v>1.5121427983318134E-6</v>
      </c>
      <c r="H419" s="2">
        <f>SUM(F$4:F419)</f>
        <v>217.34996030625152</v>
      </c>
      <c r="I419" s="5" t="s">
        <v>983</v>
      </c>
    </row>
    <row r="420" spans="1:9">
      <c r="A420" s="1" t="s">
        <v>466</v>
      </c>
      <c r="B420" s="17">
        <f t="shared" si="21"/>
        <v>5404789073.1438866</v>
      </c>
      <c r="D420" s="8">
        <f t="shared" si="22"/>
        <v>2.6951122417190573E-16</v>
      </c>
      <c r="F420" s="2">
        <f t="shared" si="20"/>
        <v>1.4566513194939486E-6</v>
      </c>
      <c r="H420" s="2">
        <f>SUM(F$4:F420)</f>
        <v>217.34996176290284</v>
      </c>
      <c r="I420" s="5" t="s">
        <v>984</v>
      </c>
    </row>
    <row r="421" spans="1:9">
      <c r="A421" s="1" t="s">
        <v>467</v>
      </c>
      <c r="B421" s="17">
        <f t="shared" si="21"/>
        <v>5675028526.8010807</v>
      </c>
      <c r="D421" s="8">
        <f t="shared" si="22"/>
        <v>2.4725800382743642E-16</v>
      </c>
      <c r="F421" s="2">
        <f t="shared" si="20"/>
        <v>1.4031962252005926E-6</v>
      </c>
      <c r="H421" s="2">
        <f>SUM(F$4:F421)</f>
        <v>217.34996316609906</v>
      </c>
      <c r="I421" s="5" t="s">
        <v>985</v>
      </c>
    </row>
    <row r="422" spans="1:9">
      <c r="A422" s="1" t="s">
        <v>468</v>
      </c>
      <c r="B422" s="17">
        <f t="shared" si="21"/>
        <v>5958779953.1411352</v>
      </c>
      <c r="D422" s="8">
        <f t="shared" si="22"/>
        <v>2.2684220534627193E-16</v>
      </c>
      <c r="F422" s="2">
        <f t="shared" si="20"/>
        <v>1.35170278574369E-6</v>
      </c>
      <c r="H422" s="2">
        <f>SUM(F$4:F422)</f>
        <v>217.34996451780185</v>
      </c>
      <c r="I422" s="5" t="s">
        <v>986</v>
      </c>
    </row>
    <row r="423" spans="1:9">
      <c r="A423" s="1" t="s">
        <v>469</v>
      </c>
      <c r="B423" s="17">
        <f t="shared" si="21"/>
        <v>6256718950.798192</v>
      </c>
      <c r="D423" s="8">
        <f t="shared" si="22"/>
        <v>2.0811211499657973E-16</v>
      </c>
      <c r="F423" s="2">
        <f t="shared" si="20"/>
        <v>1.3020990137897929E-6</v>
      </c>
      <c r="H423" s="2">
        <f>SUM(F$4:F423)</f>
        <v>217.34996581990086</v>
      </c>
      <c r="I423" s="5" t="s">
        <v>987</v>
      </c>
    </row>
    <row r="424" spans="1:9">
      <c r="A424" s="1" t="s">
        <v>470</v>
      </c>
      <c r="B424" s="17">
        <f t="shared" si="21"/>
        <v>6569554898.3381023</v>
      </c>
      <c r="D424" s="8">
        <f t="shared" si="22"/>
        <v>1.9092854586842176E-16</v>
      </c>
      <c r="F424" s="2">
        <f t="shared" si="20"/>
        <v>1.2543155637424612E-6</v>
      </c>
      <c r="H424" s="2">
        <f>SUM(F$4:F424)</f>
        <v>217.34996707421644</v>
      </c>
      <c r="I424" s="5" t="s">
        <v>988</v>
      </c>
    </row>
    <row r="425" spans="1:9">
      <c r="A425" s="1" t="s">
        <v>471</v>
      </c>
      <c r="B425" s="17">
        <f t="shared" si="21"/>
        <v>6898032643.2550077</v>
      </c>
      <c r="D425" s="8">
        <f t="shared" si="22"/>
        <v>1.7516380354901077E-16</v>
      </c>
      <c r="F425" s="2">
        <f t="shared" si="20"/>
        <v>1.2082856347977836E-6</v>
      </c>
      <c r="H425" s="2">
        <f>SUM(F$4:F425)</f>
        <v>217.34996828250206</v>
      </c>
      <c r="I425" s="5" t="s">
        <v>989</v>
      </c>
    </row>
    <row r="426" spans="1:9">
      <c r="A426" s="1" t="s">
        <v>472</v>
      </c>
      <c r="B426" s="17">
        <f t="shared" si="21"/>
        <v>7242934275.417758</v>
      </c>
      <c r="D426" s="8">
        <f t="shared" si="22"/>
        <v>1.6070073720092729E-16</v>
      </c>
      <c r="F426" s="2">
        <f t="shared" si="20"/>
        <v>1.1639448775574979E-6</v>
      </c>
      <c r="H426" s="2">
        <f>SUM(F$4:F426)</f>
        <v>217.34996944644695</v>
      </c>
      <c r="I426" s="5" t="s">
        <v>990</v>
      </c>
    </row>
    <row r="427" spans="1:9">
      <c r="A427" s="1" t="s">
        <v>473</v>
      </c>
      <c r="B427" s="17">
        <f t="shared" si="21"/>
        <v>7605080989.1886463</v>
      </c>
      <c r="D427" s="8">
        <f t="shared" si="22"/>
        <v>1.4743186899167641E-16</v>
      </c>
      <c r="F427" s="2">
        <f t="shared" si="20"/>
        <v>1.1212313040691492E-6</v>
      </c>
      <c r="H427" s="2">
        <f>SUM(F$4:F427)</f>
        <v>217.34997056767824</v>
      </c>
      <c r="I427" s="5" t="s">
        <v>991</v>
      </c>
    </row>
    <row r="428" spans="1:9">
      <c r="A428" s="1" t="s">
        <v>474</v>
      </c>
      <c r="B428" s="17">
        <f t="shared" si="21"/>
        <v>7985335038.6480789</v>
      </c>
      <c r="D428" s="8">
        <f t="shared" si="22"/>
        <v>1.3525859540520771E-16</v>
      </c>
      <c r="F428" s="2">
        <f t="shared" si="20"/>
        <v>1.0800852011675292E-6</v>
      </c>
      <c r="H428" s="2">
        <f>SUM(F$4:F428)</f>
        <v>217.34997164776345</v>
      </c>
      <c r="I428" s="5" t="s">
        <v>992</v>
      </c>
    </row>
    <row r="429" spans="1:9">
      <c r="A429" s="1" t="s">
        <v>475</v>
      </c>
      <c r="B429" s="17">
        <f t="shared" si="21"/>
        <v>8384601790.5804834</v>
      </c>
      <c r="D429" s="8">
        <f t="shared" si="22"/>
        <v>1.2409045450019055E-16</v>
      </c>
      <c r="F429" s="2">
        <f t="shared" si="20"/>
        <v>1.0404490469962438E-6</v>
      </c>
      <c r="H429" s="2">
        <f>SUM(F$4:F429)</f>
        <v>217.34997268821249</v>
      </c>
      <c r="I429" s="5" t="s">
        <v>993</v>
      </c>
    </row>
    <row r="430" spans="1:9">
      <c r="A430" s="1" t="s">
        <v>476</v>
      </c>
      <c r="B430" s="17">
        <f t="shared" si="21"/>
        <v>8803831880.1095085</v>
      </c>
      <c r="D430" s="8">
        <f t="shared" si="22"/>
        <v>1.1384445366989959E-16</v>
      </c>
      <c r="F430" s="2">
        <f t="shared" si="20"/>
        <v>1.0022674305927119E-6</v>
      </c>
      <c r="H430" s="2">
        <f>SUM(F$4:F430)</f>
        <v>217.34997369047991</v>
      </c>
      <c r="I430" s="5" t="s">
        <v>994</v>
      </c>
    </row>
    <row r="431" spans="1:9">
      <c r="A431" s="1" t="s">
        <v>477</v>
      </c>
      <c r="B431" s="17">
        <f t="shared" si="21"/>
        <v>9244023474.1149845</v>
      </c>
      <c r="D431" s="8">
        <f t="shared" si="22"/>
        <v>1.0444445290816474E-16</v>
      </c>
      <c r="F431" s="2">
        <f t="shared" si="20"/>
        <v>9.6548697442417195E-7</v>
      </c>
      <c r="H431" s="2">
        <f>SUM(F$4:F431)</f>
        <v>217.34997465596689</v>
      </c>
      <c r="I431" s="5" t="s">
        <v>995</v>
      </c>
    </row>
    <row r="432" spans="1:9">
      <c r="A432" s="1" t="s">
        <v>478</v>
      </c>
      <c r="B432" s="17">
        <f t="shared" si="21"/>
        <v>9706224647.820734</v>
      </c>
      <c r="D432" s="8">
        <f t="shared" si="22"/>
        <v>9.5820598998316268E-17</v>
      </c>
      <c r="F432" s="2">
        <f t="shared" si="20"/>
        <v>9.3005625976640413E-7</v>
      </c>
      <c r="H432" s="2">
        <f>SUM(F$4:F432)</f>
        <v>217.34997558602316</v>
      </c>
      <c r="I432" s="5" t="s">
        <v>996</v>
      </c>
    </row>
    <row r="433" spans="1:9">
      <c r="A433" s="1" t="s">
        <v>479</v>
      </c>
      <c r="B433" s="17">
        <f t="shared" si="21"/>
        <v>10191535880.211771</v>
      </c>
      <c r="D433" s="8">
        <f t="shared" si="22"/>
        <v>8.7908806420473631E-17</v>
      </c>
      <c r="F433" s="2">
        <f t="shared" si="20"/>
        <v>8.9592575482084788E-7</v>
      </c>
      <c r="H433" s="2">
        <f>SUM(F$4:F433)</f>
        <v>217.34997648194891</v>
      </c>
      <c r="I433" s="5" t="s">
        <v>997</v>
      </c>
    </row>
    <row r="434" spans="1:9">
      <c r="A434" s="1" t="s">
        <v>480</v>
      </c>
      <c r="B434" s="17">
        <f t="shared" si="21"/>
        <v>10701112674.222361</v>
      </c>
      <c r="D434" s="8">
        <f t="shared" si="22"/>
        <v>8.0650281119700578E-17</v>
      </c>
      <c r="F434" s="2">
        <f t="shared" si="20"/>
        <v>8.630477454696242E-7</v>
      </c>
      <c r="H434" s="2">
        <f>SUM(F$4:F434)</f>
        <v>217.34997734499666</v>
      </c>
      <c r="I434" s="5" t="s">
        <v>998</v>
      </c>
    </row>
    <row r="435" spans="1:9">
      <c r="A435" s="1" t="s">
        <v>481</v>
      </c>
      <c r="B435" s="17">
        <f t="shared" si="21"/>
        <v>11236168307.933479</v>
      </c>
      <c r="D435" s="8">
        <f t="shared" si="22"/>
        <v>7.3991083596055567E-17</v>
      </c>
      <c r="F435" s="2">
        <f t="shared" si="20"/>
        <v>8.3137626857165627E-7</v>
      </c>
      <c r="H435" s="2">
        <f>SUM(F$4:F435)</f>
        <v>217.34997817637293</v>
      </c>
      <c r="I435" s="5" t="s">
        <v>999</v>
      </c>
    </row>
    <row r="436" spans="1:9">
      <c r="A436" s="1" t="s">
        <v>482</v>
      </c>
      <c r="B436" s="17">
        <f t="shared" si="21"/>
        <v>11797976723.330154</v>
      </c>
      <c r="D436" s="8">
        <f t="shared" si="22"/>
        <v>6.7881728069775746E-17</v>
      </c>
      <c r="F436" s="2">
        <f t="shared" si="20"/>
        <v>8.008670477066414E-7</v>
      </c>
      <c r="H436" s="2">
        <f>SUM(F$4:F436)</f>
        <v>217.34997897723997</v>
      </c>
      <c r="I436" s="5" t="s">
        <v>1000</v>
      </c>
    </row>
    <row r="437" spans="1:9">
      <c r="A437" s="1" t="s">
        <v>483</v>
      </c>
      <c r="B437" s="17">
        <f t="shared" si="21"/>
        <v>12387875559.496662</v>
      </c>
      <c r="D437" s="8">
        <f t="shared" si="22"/>
        <v>6.2276814742913527E-17</v>
      </c>
      <c r="F437" s="2">
        <f t="shared" si="20"/>
        <v>7.7147743127703993E-7</v>
      </c>
      <c r="H437" s="2">
        <f>SUM(F$4:F437)</f>
        <v>217.3499797487174</v>
      </c>
      <c r="I437" s="5" t="s">
        <v>1001</v>
      </c>
    </row>
    <row r="438" spans="1:9">
      <c r="A438" s="1" t="s">
        <v>484</v>
      </c>
      <c r="B438" s="17">
        <f t="shared" si="21"/>
        <v>13007269337.471497</v>
      </c>
      <c r="D438" s="8">
        <f t="shared" si="22"/>
        <v>5.7134692424691304E-17</v>
      </c>
      <c r="F438" s="2">
        <f t="shared" si="20"/>
        <v>7.4316633288155217E-7</v>
      </c>
      <c r="H438" s="2">
        <f>SUM(F$4:F438)</f>
        <v>217.34998049188374</v>
      </c>
      <c r="I438" s="5" t="s">
        <v>1002</v>
      </c>
    </row>
    <row r="439" spans="1:9">
      <c r="A439" s="1" t="s">
        <v>485</v>
      </c>
      <c r="B439" s="17">
        <f t="shared" si="21"/>
        <v>13657632804.345072</v>
      </c>
      <c r="D439" s="8">
        <f t="shared" si="22"/>
        <v>5.2417149013478259E-17</v>
      </c>
      <c r="F439" s="2">
        <f t="shared" si="20"/>
        <v>7.1589417387672456E-7</v>
      </c>
      <c r="H439" s="2">
        <f>SUM(F$4:F439)</f>
        <v>217.34998120777792</v>
      </c>
      <c r="I439" s="5" t="s">
        <v>1003</v>
      </c>
    </row>
    <row r="440" spans="1:9">
      <c r="A440" s="1" t="s">
        <v>486</v>
      </c>
      <c r="B440" s="17">
        <f t="shared" si="21"/>
        <v>14340514444.562326</v>
      </c>
      <c r="D440" s="8">
        <f t="shared" si="22"/>
        <v>4.8089127535301149E-17</v>
      </c>
      <c r="F440" s="2">
        <f t="shared" si="20"/>
        <v>6.89622828046386E-7</v>
      </c>
      <c r="H440" s="2">
        <f>SUM(F$4:F440)</f>
        <v>217.34998189740074</v>
      </c>
      <c r="I440" s="5" t="s">
        <v>1004</v>
      </c>
    </row>
    <row r="441" spans="1:9">
      <c r="A441" s="1" t="s">
        <v>487</v>
      </c>
      <c r="B441" s="17">
        <f t="shared" si="21"/>
        <v>15057540166.790443</v>
      </c>
      <c r="D441" s="8">
        <f t="shared" si="22"/>
        <v>4.4118465628716646E-17</v>
      </c>
      <c r="F441" s="2">
        <f t="shared" si="20"/>
        <v>6.6431556830156445E-7</v>
      </c>
      <c r="H441" s="2">
        <f>SUM(F$4:F441)</f>
        <v>217.3499825617163</v>
      </c>
      <c r="I441" s="5" t="s">
        <v>1005</v>
      </c>
    </row>
    <row r="442" spans="1:9">
      <c r="A442" s="1" t="s">
        <v>488</v>
      </c>
      <c r="B442" s="17">
        <f t="shared" si="21"/>
        <v>15810417175.129967</v>
      </c>
      <c r="D442" s="8">
        <f t="shared" si="22"/>
        <v>4.0475656540107012E-17</v>
      </c>
      <c r="F442" s="2">
        <f t="shared" si="20"/>
        <v>6.3993701533636951E-7</v>
      </c>
      <c r="H442" s="2">
        <f>SUM(F$4:F442)</f>
        <v>217.34998320165332</v>
      </c>
      <c r="I442" s="5" t="s">
        <v>1006</v>
      </c>
    </row>
    <row r="443" spans="1:9">
      <c r="A443" s="1" t="s">
        <v>489</v>
      </c>
      <c r="B443" s="17">
        <f t="shared" si="21"/>
        <v>16600938033.886465</v>
      </c>
      <c r="D443" s="8">
        <f t="shared" si="22"/>
        <v>3.7133629853309181E-17</v>
      </c>
      <c r="F443" s="2">
        <f t="shared" si="20"/>
        <v>6.1645308816806226E-7</v>
      </c>
      <c r="H443" s="2">
        <f>SUM(F$4:F443)</f>
        <v>217.34998381810641</v>
      </c>
      <c r="I443" s="5" t="s">
        <v>1007</v>
      </c>
    </row>
    <row r="444" spans="1:9">
      <c r="A444" s="1" t="s">
        <v>490</v>
      </c>
      <c r="B444" s="17">
        <f t="shared" si="21"/>
        <v>17430984935.580788</v>
      </c>
      <c r="D444" s="8">
        <f t="shared" si="22"/>
        <v>3.4067550324136859E-17</v>
      </c>
      <c r="F444" s="2">
        <f t="shared" si="20"/>
        <v>5.9383095649216997E-7</v>
      </c>
      <c r="H444" s="2">
        <f>SUM(F$4:F444)</f>
        <v>217.34998441193736</v>
      </c>
      <c r="I444" s="5" t="s">
        <v>1008</v>
      </c>
    </row>
    <row r="445" spans="1:9">
      <c r="A445" s="1" t="s">
        <v>491</v>
      </c>
      <c r="B445" s="17">
        <f t="shared" si="21"/>
        <v>18302534182.359829</v>
      </c>
      <c r="D445" s="8">
        <f t="shared" si="22"/>
        <v>3.1254633324896201E-17</v>
      </c>
      <c r="F445" s="2">
        <f t="shared" si="20"/>
        <v>5.7203899478603533E-7</v>
      </c>
      <c r="H445" s="2">
        <f>SUM(F$4:F445)</f>
        <v>217.34998498397636</v>
      </c>
      <c r="I445" s="5" t="s">
        <v>1009</v>
      </c>
    </row>
    <row r="446" spans="1:9">
      <c r="A446" s="1" t="s">
        <v>492</v>
      </c>
      <c r="B446" s="17">
        <f t="shared" si="21"/>
        <v>19217660891.477821</v>
      </c>
      <c r="D446" s="8">
        <f t="shared" si="22"/>
        <v>2.8673975527427703E-17</v>
      </c>
      <c r="F446" s="2">
        <f t="shared" si="20"/>
        <v>5.510467380966395E-7</v>
      </c>
      <c r="H446" s="2">
        <f>SUM(F$4:F446)</f>
        <v>217.34998553502308</v>
      </c>
      <c r="I446" s="5" t="s">
        <v>1010</v>
      </c>
    </row>
    <row r="447" spans="1:9">
      <c r="A447" s="1" t="s">
        <v>493</v>
      </c>
      <c r="B447" s="17">
        <f t="shared" si="21"/>
        <v>20178543936.051712</v>
      </c>
      <c r="D447" s="8">
        <f t="shared" si="22"/>
        <v>2.6306399566447433E-17</v>
      </c>
      <c r="F447" s="2">
        <f t="shared" si="20"/>
        <v>5.3082483945089127E-7</v>
      </c>
      <c r="H447" s="2">
        <f>SUM(F$4:F447)</f>
        <v>217.34998606584793</v>
      </c>
      <c r="I447" s="5" t="s">
        <v>1011</v>
      </c>
    </row>
    <row r="448" spans="1:9">
      <c r="A448" s="1" t="s">
        <v>494</v>
      </c>
      <c r="B448" s="17">
        <f t="shared" si="21"/>
        <v>21187471132.854298</v>
      </c>
      <c r="D448" s="8">
        <f t="shared" si="22"/>
        <v>2.4134311528850855E-17</v>
      </c>
      <c r="F448" s="2">
        <f t="shared" si="20"/>
        <v>5.1134502882884021E-7</v>
      </c>
      <c r="H448" s="2">
        <f>SUM(F$4:F448)</f>
        <v>217.34998657719296</v>
      </c>
      <c r="I448" s="5" t="s">
        <v>1012</v>
      </c>
    </row>
    <row r="449" spans="1:9">
      <c r="A449" s="1" t="s">
        <v>495</v>
      </c>
      <c r="B449" s="17">
        <f t="shared" si="21"/>
        <v>22246844689.497013</v>
      </c>
      <c r="D449" s="8">
        <f t="shared" si="22"/>
        <v>2.2141570209954913E-17</v>
      </c>
      <c r="F449" s="2">
        <f t="shared" si="20"/>
        <v>4.9258007364246071E-7</v>
      </c>
      <c r="H449" s="2">
        <f>SUM(F$4:F449)</f>
        <v>217.34998706977305</v>
      </c>
      <c r="I449" s="5" t="s">
        <v>1013</v>
      </c>
    </row>
    <row r="450" spans="1:9">
      <c r="A450" s="1" t="s">
        <v>496</v>
      </c>
      <c r="B450" s="17">
        <f t="shared" si="21"/>
        <v>23359186923.971867</v>
      </c>
      <c r="D450" s="8">
        <f t="shared" si="22"/>
        <v>2.031336716509625E-17</v>
      </c>
      <c r="F450" s="2">
        <f t="shared" si="20"/>
        <v>4.7450374066475578E-7</v>
      </c>
      <c r="H450" s="2">
        <f>SUM(F$4:F450)</f>
        <v>217.34998754427679</v>
      </c>
      <c r="I450" s="5" t="s">
        <v>1014</v>
      </c>
    </row>
    <row r="451" spans="1:9">
      <c r="A451" s="1" t="s">
        <v>497</v>
      </c>
      <c r="B451" s="17">
        <f t="shared" si="21"/>
        <v>24527146270.17046</v>
      </c>
      <c r="D451" s="8">
        <f t="shared" si="22"/>
        <v>1.8636116665225916E-17</v>
      </c>
      <c r="F451" s="2">
        <f t="shared" si="20"/>
        <v>4.5709075935595736E-7</v>
      </c>
      <c r="H451" s="2">
        <f>SUM(F$4:F451)</f>
        <v>217.34998800136754</v>
      </c>
      <c r="I451" s="5" t="s">
        <v>1015</v>
      </c>
    </row>
    <row r="452" spans="1:9">
      <c r="A452" s="1" t="s">
        <v>498</v>
      </c>
      <c r="B452" s="17">
        <f t="shared" si="21"/>
        <v>25753503583.678986</v>
      </c>
      <c r="D452" s="8">
        <f t="shared" si="22"/>
        <v>1.7097354738739371E-17</v>
      </c>
      <c r="F452" s="2">
        <f t="shared" si="20"/>
        <v>4.4031678653555527E-7</v>
      </c>
      <c r="H452" s="2">
        <f>SUM(F$4:F452)</f>
        <v>217.34998844168433</v>
      </c>
      <c r="I452" s="5" t="s">
        <v>1016</v>
      </c>
    </row>
    <row r="453" spans="1:9">
      <c r="A453" s="1" t="s">
        <v>499</v>
      </c>
      <c r="B453" s="17">
        <f t="shared" si="21"/>
        <v>27041178762.862938</v>
      </c>
      <c r="D453" s="8">
        <f t="shared" si="22"/>
        <v>1.5685646549302175E-17</v>
      </c>
      <c r="F453" s="2">
        <f t="shared" si="20"/>
        <v>4.2415837235076432E-7</v>
      </c>
      <c r="H453" s="2">
        <f>SUM(F$4:F453)</f>
        <v>217.3499888658427</v>
      </c>
      <c r="I453" s="5" t="s">
        <v>1017</v>
      </c>
    </row>
    <row r="454" spans="1:9">
      <c r="A454" s="1" t="s">
        <v>500</v>
      </c>
      <c r="B454" s="17">
        <f t="shared" si="21"/>
        <v>28393237701.006084</v>
      </c>
      <c r="D454" s="8">
        <f t="shared" si="22"/>
        <v>1.439050142137814E-17</v>
      </c>
      <c r="F454" s="2">
        <f t="shared" si="20"/>
        <v>4.0859292749385542E-7</v>
      </c>
      <c r="H454" s="2">
        <f>SUM(F$4:F454)</f>
        <v>217.34998927443564</v>
      </c>
      <c r="I454" s="5" t="s">
        <v>1018</v>
      </c>
    </row>
    <row r="455" spans="1:9">
      <c r="A455" s="1" t="s">
        <v>501</v>
      </c>
      <c r="B455" s="17">
        <f t="shared" si="21"/>
        <v>29812899586.056389</v>
      </c>
      <c r="D455" s="8">
        <f t="shared" si="22"/>
        <v>1.3202294881998293E-17</v>
      </c>
      <c r="F455" s="2">
        <f t="shared" si="20"/>
        <v>3.935986916225213E-7</v>
      </c>
      <c r="H455" s="2">
        <f>SUM(F$4:F455)</f>
        <v>217.34998966803434</v>
      </c>
      <c r="I455" s="5" t="s">
        <v>1019</v>
      </c>
    </row>
    <row r="456" spans="1:9">
      <c r="A456" s="1" t="s">
        <v>502</v>
      </c>
      <c r="B456" s="17">
        <f t="shared" si="21"/>
        <v>31303544565.359211</v>
      </c>
      <c r="D456" s="8">
        <f t="shared" si="22"/>
        <v>1.2112197139447974E-17</v>
      </c>
      <c r="F456" s="2">
        <f t="shared" si="20"/>
        <v>3.7915470293912598E-7</v>
      </c>
      <c r="H456" s="2">
        <f>SUM(F$4:F456)</f>
        <v>217.34999004718904</v>
      </c>
      <c r="I456" s="5" t="s">
        <v>1020</v>
      </c>
    </row>
    <row r="457" spans="1:9">
      <c r="A457" s="1" t="s">
        <v>503</v>
      </c>
      <c r="B457" s="17">
        <f t="shared" si="21"/>
        <v>32868721793.627174</v>
      </c>
      <c r="D457" s="8">
        <f t="shared" si="22"/>
        <v>1.1112107467383461E-17</v>
      </c>
      <c r="F457" s="2">
        <f t="shared" si="20"/>
        <v>3.6524076888631403E-7</v>
      </c>
      <c r="H457" s="2">
        <f>SUM(F$4:F457)</f>
        <v>217.3499904124298</v>
      </c>
      <c r="I457" s="5" t="s">
        <v>1021</v>
      </c>
    </row>
    <row r="458" spans="1:9">
      <c r="A458" s="1" t="s">
        <v>504</v>
      </c>
      <c r="B458" s="17">
        <f t="shared" si="21"/>
        <v>34512157883.308533</v>
      </c>
      <c r="D458" s="8">
        <f t="shared" si="22"/>
        <v>1.0194594006773817E-17</v>
      </c>
      <c r="F458" s="2">
        <f t="shared" si="20"/>
        <v>3.5183743791800893E-7</v>
      </c>
      <c r="H458" s="2">
        <f>SUM(F$4:F458)</f>
        <v>217.34999076426723</v>
      </c>
      <c r="I458" s="5" t="s">
        <v>1022</v>
      </c>
    </row>
    <row r="459" spans="1:9">
      <c r="A459" s="1" t="s">
        <v>505</v>
      </c>
      <c r="B459" s="17">
        <f t="shared" si="21"/>
        <v>36237765777.473961</v>
      </c>
      <c r="D459" s="8">
        <f t="shared" si="22"/>
        <v>9.3528385383246028E-18</v>
      </c>
      <c r="F459" s="2">
        <f t="shared" si="20"/>
        <v>3.3892597230633887E-7</v>
      </c>
      <c r="H459" s="2">
        <f>SUM(F$4:F459)</f>
        <v>217.34999110319322</v>
      </c>
      <c r="I459" s="5" t="s">
        <v>1023</v>
      </c>
    </row>
    <row r="460" spans="1:9">
      <c r="A460" s="1" t="s">
        <v>506</v>
      </c>
      <c r="B460" s="17">
        <f t="shared" si="21"/>
        <v>38049654066.347664</v>
      </c>
      <c r="D460" s="8">
        <f t="shared" si="22"/>
        <v>8.5805858149766986E-18</v>
      </c>
      <c r="F460" s="2">
        <f t="shared" si="20"/>
        <v>3.2648832194647324E-7</v>
      </c>
      <c r="H460" s="2">
        <f>SUM(F$4:F460)</f>
        <v>217.34999142968155</v>
      </c>
      <c r="I460" s="5" t="s">
        <v>1024</v>
      </c>
    </row>
    <row r="461" spans="1:9">
      <c r="A461" s="1" t="s">
        <v>507</v>
      </c>
      <c r="B461" s="17">
        <f t="shared" si="21"/>
        <v>39952136769.665047</v>
      </c>
      <c r="D461" s="8">
        <f t="shared" si="22"/>
        <v>7.8720970779602727E-18</v>
      </c>
      <c r="F461" s="2">
        <f t="shared" si="20"/>
        <v>3.1450709912274941E-7</v>
      </c>
      <c r="H461" s="2">
        <f>SUM(F$4:F461)</f>
        <v>217.34999174418866</v>
      </c>
      <c r="I461" s="5" t="s">
        <v>1025</v>
      </c>
    </row>
    <row r="462" spans="1:9">
      <c r="A462" s="1" t="s">
        <v>508</v>
      </c>
      <c r="B462" s="17">
        <f t="shared" si="21"/>
        <v>41949743608.1483</v>
      </c>
      <c r="D462" s="8">
        <f t="shared" si="22"/>
        <v>7.2221074109727263E-18</v>
      </c>
      <c r="F462" s="2">
        <f t="shared" si="20"/>
        <v>3.029655542008136E-7</v>
      </c>
      <c r="H462" s="2">
        <f>SUM(F$4:F462)</f>
        <v>217.34999204715422</v>
      </c>
      <c r="I462" s="5" t="s">
        <v>1026</v>
      </c>
    </row>
    <row r="463" spans="1:9">
      <c r="A463" s="1" t="s">
        <v>509</v>
      </c>
      <c r="B463" s="17">
        <f t="shared" si="21"/>
        <v>44047230788.555717</v>
      </c>
      <c r="D463" s="8">
        <f t="shared" si="22"/>
        <v>6.6257866155713084E-18</v>
      </c>
      <c r="F463" s="2">
        <f t="shared" si="20"/>
        <v>2.9184755221179294E-7</v>
      </c>
      <c r="H463" s="2">
        <f>SUM(F$4:F463)</f>
        <v>217.34999233900177</v>
      </c>
      <c r="I463" s="5" t="s">
        <v>1027</v>
      </c>
    </row>
    <row r="464" spans="1:9">
      <c r="A464" s="1" t="s">
        <v>510</v>
      </c>
      <c r="B464" s="17">
        <f t="shared" si="21"/>
        <v>46249592327.983505</v>
      </c>
      <c r="D464" s="8">
        <f t="shared" si="22"/>
        <v>6.0787033170378968E-18</v>
      </c>
      <c r="F464" s="2">
        <f t="shared" ref="F464:F504" si="23">B464*D464</f>
        <v>2.8113755029576378E-7</v>
      </c>
      <c r="H464" s="2">
        <f>SUM(F$4:F464)</f>
        <v>217.34999262013932</v>
      </c>
      <c r="I464" s="5" t="s">
        <v>1028</v>
      </c>
    </row>
    <row r="465" spans="1:9">
      <c r="A465" s="1" t="s">
        <v>511</v>
      </c>
      <c r="B465" s="17">
        <f t="shared" ref="B465:B504" si="24">B464*(1+5%)</f>
        <v>48562071944.382683</v>
      </c>
      <c r="D465" s="8">
        <f t="shared" ref="D465:D504" si="25">D464/(1+9%)</f>
        <v>5.5767920339797216E-18</v>
      </c>
      <c r="F465" s="2">
        <f t="shared" si="23"/>
        <v>2.7082057597298347E-7</v>
      </c>
      <c r="H465" s="2">
        <f>SUM(F$4:F465)</f>
        <v>217.3499928909599</v>
      </c>
      <c r="I465" s="5" t="s">
        <v>1029</v>
      </c>
    </row>
    <row r="466" spans="1:9">
      <c r="A466" s="1" t="s">
        <v>512</v>
      </c>
      <c r="B466" s="17">
        <f t="shared" si="24"/>
        <v>50990175541.601822</v>
      </c>
      <c r="D466" s="8">
        <f t="shared" si="25"/>
        <v>5.1163229669538723E-18</v>
      </c>
      <c r="F466" s="2">
        <f t="shared" si="23"/>
        <v>2.6088220621250701E-7</v>
      </c>
      <c r="H466" s="2">
        <f>SUM(F$4:F466)</f>
        <v>217.34999315184211</v>
      </c>
      <c r="I466" s="5" t="s">
        <v>1030</v>
      </c>
    </row>
    <row r="467" spans="1:9">
      <c r="A467" s="1" t="s">
        <v>513</v>
      </c>
      <c r="B467" s="17">
        <f t="shared" si="24"/>
        <v>53539684318.681915</v>
      </c>
      <c r="D467" s="8">
        <f t="shared" si="25"/>
        <v>4.6938742816090571E-18</v>
      </c>
      <c r="F467" s="2">
        <f t="shared" si="23"/>
        <v>2.5130854726892879E-7</v>
      </c>
      <c r="H467" s="2">
        <f>SUM(F$4:F467)</f>
        <v>217.34999340315065</v>
      </c>
      <c r="I467" s="5" t="s">
        <v>1031</v>
      </c>
    </row>
    <row r="468" spans="1:9">
      <c r="A468" s="1" t="s">
        <v>514</v>
      </c>
      <c r="B468" s="17">
        <f t="shared" si="24"/>
        <v>56216668534.616013</v>
      </c>
      <c r="D468" s="8">
        <f t="shared" si="25"/>
        <v>4.3063066803752815E-18</v>
      </c>
      <c r="F468" s="2">
        <f t="shared" si="23"/>
        <v>2.4208621525905984E-7</v>
      </c>
      <c r="H468" s="2">
        <f>SUM(F$4:F468)</f>
        <v>217.34999364523685</v>
      </c>
      <c r="I468" s="5" t="s">
        <v>1032</v>
      </c>
    </row>
    <row r="469" spans="1:9">
      <c r="A469" s="1" t="s">
        <v>515</v>
      </c>
      <c r="B469" s="17">
        <f t="shared" si="24"/>
        <v>59027501961.346817</v>
      </c>
      <c r="D469" s="8">
        <f t="shared" si="25"/>
        <v>3.9507400737387899E-18</v>
      </c>
      <c r="F469" s="2">
        <f t="shared" si="23"/>
        <v>2.3320231745138789E-7</v>
      </c>
      <c r="H469" s="2">
        <f>SUM(F$4:F469)</f>
        <v>217.34999387843916</v>
      </c>
      <c r="I469" s="5" t="s">
        <v>1033</v>
      </c>
    </row>
    <row r="470" spans="1:9">
      <c r="A470" s="1" t="s">
        <v>516</v>
      </c>
      <c r="B470" s="17">
        <f t="shared" si="24"/>
        <v>61978877059.414162</v>
      </c>
      <c r="D470" s="8">
        <f t="shared" si="25"/>
        <v>3.6245321777420085E-18</v>
      </c>
      <c r="F470" s="2">
        <f t="shared" si="23"/>
        <v>2.2464443424216261E-7</v>
      </c>
      <c r="H470" s="2">
        <f>SUM(F$4:F470)</f>
        <v>217.34999410308359</v>
      </c>
      <c r="I470" s="5" t="s">
        <v>1034</v>
      </c>
    </row>
    <row r="471" spans="1:9">
      <c r="A471" s="1" t="s">
        <v>517</v>
      </c>
      <c r="B471" s="17">
        <f t="shared" si="24"/>
        <v>65077820912.384872</v>
      </c>
      <c r="D471" s="8">
        <f t="shared" si="25"/>
        <v>3.3252588786623929E-18</v>
      </c>
      <c r="F471" s="2">
        <f t="shared" si="23"/>
        <v>2.1640060179290893E-7</v>
      </c>
      <c r="H471" s="2">
        <f>SUM(F$4:F471)</f>
        <v>217.34999431948418</v>
      </c>
      <c r="I471" s="5" t="s">
        <v>1035</v>
      </c>
    </row>
    <row r="472" spans="1:9">
      <c r="A472" s="1" t="s">
        <v>518</v>
      </c>
      <c r="B472" s="17">
        <f t="shared" si="24"/>
        <v>68331711958.00412</v>
      </c>
      <c r="D472" s="8">
        <f t="shared" si="25"/>
        <v>3.0506962189563237E-18</v>
      </c>
      <c r="F472" s="2">
        <f t="shared" si="23"/>
        <v>2.0845929530509577E-7</v>
      </c>
      <c r="H472" s="2">
        <f>SUM(F$4:F472)</f>
        <v>217.34999452794347</v>
      </c>
      <c r="I472" s="5" t="s">
        <v>1036</v>
      </c>
    </row>
    <row r="473" spans="1:9">
      <c r="A473" s="1" t="s">
        <v>519</v>
      </c>
      <c r="B473" s="17">
        <f t="shared" si="24"/>
        <v>71748297555.904327</v>
      </c>
      <c r="D473" s="8">
        <f t="shared" si="25"/>
        <v>2.7988038706021316E-18</v>
      </c>
      <c r="F473" s="2">
        <f t="shared" si="23"/>
        <v>2.0080941290857849E-7</v>
      </c>
      <c r="H473" s="2">
        <f>SUM(F$4:F473)</f>
        <v>217.34999472875288</v>
      </c>
      <c r="I473" s="5" t="s">
        <v>1037</v>
      </c>
    </row>
    <row r="474" spans="1:9">
      <c r="A474" s="1" t="s">
        <v>520</v>
      </c>
      <c r="B474" s="17">
        <f t="shared" si="24"/>
        <v>75335712433.699554</v>
      </c>
      <c r="D474" s="8">
        <f t="shared" si="25"/>
        <v>2.5677099730294785E-18</v>
      </c>
      <c r="F474" s="2">
        <f t="shared" si="23"/>
        <v>1.9344026014129122E-7</v>
      </c>
      <c r="H474" s="2">
        <f>SUM(F$4:F474)</f>
        <v>217.34999492219313</v>
      </c>
      <c r="I474" s="5" t="s">
        <v>1038</v>
      </c>
    </row>
    <row r="475" spans="1:9">
      <c r="A475" s="1" t="s">
        <v>521</v>
      </c>
      <c r="B475" s="17">
        <f t="shared" si="24"/>
        <v>79102498055.384537</v>
      </c>
      <c r="D475" s="8">
        <f t="shared" si="25"/>
        <v>2.3556972229628243E-18</v>
      </c>
      <c r="F475" s="2">
        <f t="shared" si="23"/>
        <v>1.8634153499849156E-7</v>
      </c>
      <c r="H475" s="2">
        <f>SUM(F$4:F475)</f>
        <v>217.34999510853467</v>
      </c>
      <c r="I475" s="5" t="s">
        <v>1039</v>
      </c>
    </row>
    <row r="476" spans="1:9">
      <c r="A476" s="1" t="s">
        <v>522</v>
      </c>
      <c r="B476" s="17">
        <f t="shared" si="24"/>
        <v>83057622958.153763</v>
      </c>
      <c r="D476" s="8">
        <f t="shared" si="25"/>
        <v>2.1611901128099305E-18</v>
      </c>
      <c r="F476" s="2">
        <f t="shared" si="23"/>
        <v>1.79503313530657E-7</v>
      </c>
      <c r="H476" s="2">
        <f>SUM(F$4:F476)</f>
        <v>217.34999528803797</v>
      </c>
      <c r="I476" s="5" t="s">
        <v>1040</v>
      </c>
    </row>
    <row r="477" spans="1:9">
      <c r="A477" s="1" t="s">
        <v>523</v>
      </c>
      <c r="B477" s="17">
        <f t="shared" si="24"/>
        <v>87210504106.061447</v>
      </c>
      <c r="D477" s="8">
        <f t="shared" si="25"/>
        <v>1.982743222761404E-18</v>
      </c>
      <c r="F477" s="2">
        <f t="shared" si="23"/>
        <v>1.7291603596989892E-7</v>
      </c>
      <c r="H477" s="2">
        <f>SUM(F$4:F477)</f>
        <v>217.34999546095401</v>
      </c>
      <c r="I477" s="5" t="s">
        <v>1041</v>
      </c>
    </row>
    <row r="478" spans="1:9">
      <c r="A478" s="1" t="s">
        <v>524</v>
      </c>
      <c r="B478" s="17">
        <f t="shared" si="24"/>
        <v>91571029311.364517</v>
      </c>
      <c r="D478" s="8">
        <f t="shared" si="25"/>
        <v>1.8190304795976182E-18</v>
      </c>
      <c r="F478" s="2">
        <f t="shared" si="23"/>
        <v>1.6657049336549896E-7</v>
      </c>
      <c r="H478" s="2">
        <f>SUM(F$4:F478)</f>
        <v>217.34999562752449</v>
      </c>
      <c r="I478" s="5" t="s">
        <v>1042</v>
      </c>
    </row>
    <row r="479" spans="1:9">
      <c r="A479" s="1" t="s">
        <v>525</v>
      </c>
      <c r="B479" s="17">
        <f t="shared" si="24"/>
        <v>96149580776.932755</v>
      </c>
      <c r="D479" s="8">
        <f t="shared" si="25"/>
        <v>1.668835302383136E-18</v>
      </c>
      <c r="F479" s="2">
        <f t="shared" si="23"/>
        <v>1.6045781470988432E-7</v>
      </c>
      <c r="H479" s="2">
        <f>SUM(F$4:F479)</f>
        <v>217.34999578798229</v>
      </c>
      <c r="I479" s="5" t="s">
        <v>1043</v>
      </c>
    </row>
    <row r="480" spans="1:9">
      <c r="A480" s="1" t="s">
        <v>526</v>
      </c>
      <c r="B480" s="17">
        <f t="shared" si="24"/>
        <v>100957059815.7794</v>
      </c>
      <c r="D480" s="8">
        <f t="shared" si="25"/>
        <v>1.5310415618193906E-18</v>
      </c>
      <c r="F480" s="2">
        <f t="shared" si="23"/>
        <v>1.5456945453704453E-7</v>
      </c>
      <c r="H480" s="2">
        <f>SUM(F$4:F480)</f>
        <v>217.34999594255174</v>
      </c>
      <c r="I480" s="5" t="s">
        <v>1044</v>
      </c>
    </row>
    <row r="481" spans="1:9">
      <c r="A481" s="1" t="s">
        <v>527</v>
      </c>
      <c r="B481" s="17">
        <f t="shared" si="24"/>
        <v>106004912806.56837</v>
      </c>
      <c r="D481" s="8">
        <f t="shared" si="25"/>
        <v>1.4046252860728352E-18</v>
      </c>
      <c r="F481" s="2">
        <f t="shared" si="23"/>
        <v>1.4889718097605206E-7</v>
      </c>
      <c r="H481" s="2">
        <f>SUM(F$4:F481)</f>
        <v>217.34999609144893</v>
      </c>
      <c r="I481" s="5" t="s">
        <v>1045</v>
      </c>
    </row>
    <row r="482" spans="1:9">
      <c r="A482" s="1" t="s">
        <v>528</v>
      </c>
      <c r="B482" s="17">
        <f t="shared" si="24"/>
        <v>111305158446.8968</v>
      </c>
      <c r="D482" s="8">
        <f t="shared" si="25"/>
        <v>1.288647051442968E-18</v>
      </c>
      <c r="F482" s="2">
        <f t="shared" si="23"/>
        <v>1.4343306424298594E-7</v>
      </c>
      <c r="H482" s="2">
        <f>SUM(F$4:F482)</f>
        <v>217.34999623488198</v>
      </c>
      <c r="I482" s="5" t="s">
        <v>1046</v>
      </c>
    </row>
    <row r="483" spans="1:9">
      <c r="A483" s="1" t="s">
        <v>529</v>
      </c>
      <c r="B483" s="17">
        <f t="shared" si="24"/>
        <v>116870416369.24165</v>
      </c>
      <c r="D483" s="8">
        <f t="shared" si="25"/>
        <v>1.1822450013238237E-18</v>
      </c>
      <c r="F483" s="2">
        <f t="shared" si="23"/>
        <v>1.3816946555516992E-7</v>
      </c>
      <c r="H483" s="2">
        <f>SUM(F$4:F483)</f>
        <v>217.34999637305145</v>
      </c>
      <c r="I483" s="5" t="s">
        <v>1047</v>
      </c>
    </row>
    <row r="484" spans="1:9">
      <c r="A484" s="1" t="s">
        <v>530</v>
      </c>
      <c r="B484" s="17">
        <f t="shared" si="24"/>
        <v>122713937187.70374</v>
      </c>
      <c r="D484" s="8">
        <f t="shared" si="25"/>
        <v>1.0846284415814896E-18</v>
      </c>
      <c r="F484" s="2">
        <f t="shared" si="23"/>
        <v>1.3309902645222791E-7</v>
      </c>
      <c r="H484" s="2">
        <f>SUM(F$4:F484)</f>
        <v>217.34999650615049</v>
      </c>
      <c r="I484" s="5" t="s">
        <v>1048</v>
      </c>
    </row>
    <row r="485" spans="1:9">
      <c r="A485" s="1" t="s">
        <v>531</v>
      </c>
      <c r="B485" s="17">
        <f t="shared" si="24"/>
        <v>128849634047.08893</v>
      </c>
      <c r="D485" s="8">
        <f t="shared" si="25"/>
        <v>9.9507196475366009E-19</v>
      </c>
      <c r="F485" s="2">
        <f t="shared" si="23"/>
        <v>1.2821465850902688E-7</v>
      </c>
      <c r="H485" s="2">
        <f>SUM(F$4:F485)</f>
        <v>217.34999663436514</v>
      </c>
      <c r="I485" s="5" t="s">
        <v>1049</v>
      </c>
    </row>
    <row r="486" spans="1:9">
      <c r="A486" s="1" t="s">
        <v>532</v>
      </c>
      <c r="B486" s="17">
        <f t="shared" si="24"/>
        <v>135292115749.44337</v>
      </c>
      <c r="D486" s="8">
        <f t="shared" si="25"/>
        <v>9.1291005940702755E-19</v>
      </c>
      <c r="F486" s="2">
        <f t="shared" si="23"/>
        <v>1.2350953342612679E-7</v>
      </c>
      <c r="H486" s="2">
        <f>SUM(F$4:F486)</f>
        <v>217.34999675787466</v>
      </c>
      <c r="I486" s="5" t="s">
        <v>1050</v>
      </c>
    </row>
    <row r="487" spans="1:9">
      <c r="A487" s="1" t="s">
        <v>533</v>
      </c>
      <c r="B487" s="17">
        <f t="shared" si="24"/>
        <v>142056721536.91556</v>
      </c>
      <c r="D487" s="8">
        <f t="shared" si="25"/>
        <v>8.3753216459360318E-19</v>
      </c>
      <c r="F487" s="2">
        <f t="shared" si="23"/>
        <v>1.1897707348388362E-7</v>
      </c>
      <c r="H487" s="2">
        <f>SUM(F$4:F487)</f>
        <v>217.34999687685175</v>
      </c>
      <c r="I487" s="5" t="s">
        <v>1051</v>
      </c>
    </row>
    <row r="488" spans="1:9">
      <c r="A488" s="1" t="s">
        <v>534</v>
      </c>
      <c r="B488" s="17">
        <f t="shared" si="24"/>
        <v>149159557613.76135</v>
      </c>
      <c r="D488" s="8">
        <f t="shared" si="25"/>
        <v>7.6837813265468173E-19</v>
      </c>
      <c r="F488" s="2">
        <f t="shared" si="23"/>
        <v>1.1461094234686036E-7</v>
      </c>
      <c r="H488" s="2">
        <f>SUM(F$4:F488)</f>
        <v>217.34999699146269</v>
      </c>
      <c r="I488" s="5" t="s">
        <v>1052</v>
      </c>
    </row>
    <row r="489" spans="1:9">
      <c r="A489" s="1" t="s">
        <v>535</v>
      </c>
      <c r="B489" s="17">
        <f t="shared" si="24"/>
        <v>156617535494.44943</v>
      </c>
      <c r="D489" s="8">
        <f t="shared" si="25"/>
        <v>7.0493406665567123E-19</v>
      </c>
      <c r="F489" s="2">
        <f t="shared" si="23"/>
        <v>1.1040503620569116E-7</v>
      </c>
      <c r="H489" s="2">
        <f>SUM(F$4:F489)</f>
        <v>217.34999710186773</v>
      </c>
      <c r="I489" s="5" t="s">
        <v>1053</v>
      </c>
    </row>
    <row r="490" spans="1:9">
      <c r="A490" s="1" t="s">
        <v>536</v>
      </c>
      <c r="B490" s="17">
        <f t="shared" si="24"/>
        <v>164448412269.17191</v>
      </c>
      <c r="D490" s="8">
        <f t="shared" si="25"/>
        <v>6.4672850151896443E-19</v>
      </c>
      <c r="F490" s="2">
        <f t="shared" si="23"/>
        <v>1.0635347524401443E-7</v>
      </c>
      <c r="H490" s="2">
        <f>SUM(F$4:F490)</f>
        <v>217.3499972082212</v>
      </c>
      <c r="I490" s="5" t="s">
        <v>1054</v>
      </c>
    </row>
    <row r="491" spans="1:9">
      <c r="A491" s="1" t="s">
        <v>537</v>
      </c>
      <c r="B491" s="17">
        <f t="shared" si="24"/>
        <v>172670832882.63049</v>
      </c>
      <c r="D491" s="8">
        <f t="shared" si="25"/>
        <v>5.9332890047611407E-19</v>
      </c>
      <c r="F491" s="2">
        <f t="shared" si="23"/>
        <v>1.0245059541854599E-7</v>
      </c>
      <c r="H491" s="2">
        <f>SUM(F$4:F491)</f>
        <v>217.3499973106718</v>
      </c>
      <c r="I491" s="5" t="s">
        <v>1055</v>
      </c>
    </row>
    <row r="492" spans="1:9">
      <c r="A492" s="1" t="s">
        <v>538</v>
      </c>
      <c r="B492" s="17">
        <f t="shared" si="24"/>
        <v>181304374526.76202</v>
      </c>
      <c r="D492" s="8">
        <f t="shared" si="25"/>
        <v>5.4433844080377429E-19</v>
      </c>
      <c r="F492" s="2">
        <f t="shared" si="23"/>
        <v>9.8690940540801169E-8</v>
      </c>
      <c r="H492" s="2">
        <f>SUM(F$4:F492)</f>
        <v>217.34999740936274</v>
      </c>
      <c r="I492" s="5" t="s">
        <v>1056</v>
      </c>
    </row>
    <row r="493" spans="1:9">
      <c r="A493" s="1" t="s">
        <v>539</v>
      </c>
      <c r="B493" s="17">
        <f t="shared" si="24"/>
        <v>190369593253.10013</v>
      </c>
      <c r="D493" s="8">
        <f t="shared" si="25"/>
        <v>4.9939306495759103E-19</v>
      </c>
      <c r="F493" s="2">
        <f t="shared" si="23"/>
        <v>9.5069254649395621E-8</v>
      </c>
      <c r="H493" s="2">
        <f>SUM(F$4:F493)</f>
        <v>217.349997504432</v>
      </c>
      <c r="I493" s="5" t="s">
        <v>1057</v>
      </c>
    </row>
    <row r="494" spans="1:9">
      <c r="A494" s="1" t="s">
        <v>540</v>
      </c>
      <c r="B494" s="17">
        <f t="shared" si="24"/>
        <v>199888072915.75516</v>
      </c>
      <c r="D494" s="8">
        <f t="shared" si="25"/>
        <v>4.5815877519045041E-19</v>
      </c>
      <c r="F494" s="2">
        <f t="shared" si="23"/>
        <v>9.1580474662261831E-8</v>
      </c>
      <c r="H494" s="2">
        <f>SUM(F$4:F494)</f>
        <v>217.34999759601246</v>
      </c>
      <c r="I494" s="5" t="s">
        <v>1058</v>
      </c>
    </row>
    <row r="495" spans="1:9">
      <c r="A495" s="1" t="s">
        <v>541</v>
      </c>
      <c r="B495" s="17">
        <f t="shared" si="24"/>
        <v>209882476561.54294</v>
      </c>
      <c r="D495" s="8">
        <f t="shared" si="25"/>
        <v>4.2032915155087192E-19</v>
      </c>
      <c r="F495" s="2">
        <f t="shared" si="23"/>
        <v>8.8219723298509108E-8</v>
      </c>
      <c r="H495" s="2">
        <f>SUM(F$4:F495)</f>
        <v>217.34999768423219</v>
      </c>
      <c r="I495" s="5" t="s">
        <v>1059</v>
      </c>
    </row>
    <row r="496" spans="1:9">
      <c r="A496" s="1" t="s">
        <v>542</v>
      </c>
      <c r="B496" s="17">
        <f t="shared" si="24"/>
        <v>220376600389.62009</v>
      </c>
      <c r="D496" s="8">
        <f t="shared" si="25"/>
        <v>3.8562307481731366E-19</v>
      </c>
      <c r="F496" s="2">
        <f t="shared" si="23"/>
        <v>8.49823022600317E-8</v>
      </c>
      <c r="H496" s="2">
        <f>SUM(F$4:F496)</f>
        <v>217.3499977692145</v>
      </c>
      <c r="I496" s="5" t="s">
        <v>1060</v>
      </c>
    </row>
    <row r="497" spans="1:9">
      <c r="A497" s="1" t="s">
        <v>543</v>
      </c>
      <c r="B497" s="17">
        <f t="shared" si="24"/>
        <v>231395430409.1011</v>
      </c>
      <c r="D497" s="8">
        <f t="shared" si="25"/>
        <v>3.5378263744707671E-19</v>
      </c>
      <c r="F497" s="2">
        <f t="shared" si="23"/>
        <v>8.1863685663333279E-8</v>
      </c>
      <c r="H497" s="2">
        <f>SUM(F$4:F497)</f>
        <v>217.34999785107817</v>
      </c>
      <c r="I497" s="5" t="s">
        <v>1061</v>
      </c>
    </row>
    <row r="498" spans="1:9">
      <c r="A498" s="1" t="s">
        <v>544</v>
      </c>
      <c r="B498" s="17">
        <f t="shared" si="24"/>
        <v>242965201929.55618</v>
      </c>
      <c r="D498" s="8">
        <f t="shared" si="25"/>
        <v>3.2457122701566668E-19</v>
      </c>
      <c r="F498" s="2">
        <f t="shared" si="23"/>
        <v>7.8859513712385281E-8</v>
      </c>
      <c r="H498" s="2">
        <f>SUM(F$4:F498)</f>
        <v>217.34999792993767</v>
      </c>
      <c r="I498" s="5" t="s">
        <v>1062</v>
      </c>
    </row>
    <row r="499" spans="1:9">
      <c r="A499" s="1" t="s">
        <v>545</v>
      </c>
      <c r="B499" s="17">
        <f t="shared" si="24"/>
        <v>255113462026.034</v>
      </c>
      <c r="D499" s="8">
        <f t="shared" si="25"/>
        <v>2.9777176790428133E-19</v>
      </c>
      <c r="F499" s="2">
        <f t="shared" si="23"/>
        <v>7.5965586603673884E-8</v>
      </c>
      <c r="H499" s="2">
        <f>SUM(F$4:F499)</f>
        <v>217.34999800590325</v>
      </c>
      <c r="I499" s="5" t="s">
        <v>1063</v>
      </c>
    </row>
    <row r="500" spans="1:9">
      <c r="A500" s="1" t="s">
        <v>546</v>
      </c>
      <c r="B500" s="17">
        <f t="shared" si="24"/>
        <v>267869135127.33569</v>
      </c>
      <c r="D500" s="8">
        <f t="shared" si="25"/>
        <v>2.7318510816906543E-19</v>
      </c>
      <c r="F500" s="2">
        <f t="shared" si="23"/>
        <v>7.3177858654915204E-8</v>
      </c>
      <c r="H500" s="2">
        <f>SUM(F$4:F500)</f>
        <v>217.3499980790811</v>
      </c>
      <c r="I500" s="5" t="s">
        <v>1064</v>
      </c>
    </row>
    <row r="501" spans="1:9">
      <c r="A501" s="1" t="s">
        <v>547</v>
      </c>
      <c r="B501" s="17">
        <f t="shared" si="24"/>
        <v>281262591883.70251</v>
      </c>
      <c r="D501" s="8">
        <f t="shared" si="25"/>
        <v>2.5062853960464714E-19</v>
      </c>
      <c r="F501" s="2">
        <f t="shared" si="23"/>
        <v>7.0492432649230239E-8</v>
      </c>
      <c r="H501" s="2">
        <f>SUM(F$4:F501)</f>
        <v>217.34999814957354</v>
      </c>
      <c r="I501" s="5" t="s">
        <v>1065</v>
      </c>
    </row>
    <row r="502" spans="1:9">
      <c r="A502" s="1" t="s">
        <v>548</v>
      </c>
      <c r="B502" s="17">
        <f t="shared" si="24"/>
        <v>295325721477.88763</v>
      </c>
      <c r="D502" s="8">
        <f t="shared" si="25"/>
        <v>2.2993444000426342E-19</v>
      </c>
      <c r="F502" s="2">
        <f t="shared" si="23"/>
        <v>6.7905554386873163E-8</v>
      </c>
      <c r="H502" s="2">
        <f>SUM(F$4:F502)</f>
        <v>217.34999821747908</v>
      </c>
      <c r="I502" s="5" t="s">
        <v>1066</v>
      </c>
    </row>
    <row r="503" spans="1:9">
      <c r="A503" s="1" t="s">
        <v>549</v>
      </c>
      <c r="B503" s="17">
        <f t="shared" si="24"/>
        <v>310092007551.78204</v>
      </c>
      <c r="D503" s="8">
        <f t="shared" si="25"/>
        <v>2.1094902752684716E-19</v>
      </c>
      <c r="F503" s="2">
        <f t="shared" si="23"/>
        <v>6.5413607436896163E-8</v>
      </c>
      <c r="H503" s="2">
        <f>SUM(F$4:F503)</f>
        <v>217.3499982828927</v>
      </c>
      <c r="I503" s="5" t="s">
        <v>1067</v>
      </c>
    </row>
    <row r="504" spans="1:9">
      <c r="A504" s="1" t="s">
        <v>550</v>
      </c>
      <c r="B504" s="17">
        <f t="shared" si="24"/>
        <v>325596607929.37115</v>
      </c>
      <c r="D504" s="8">
        <f t="shared" si="25"/>
        <v>1.9353121791453866E-19</v>
      </c>
      <c r="F504" s="2">
        <f t="shared" si="23"/>
        <v>6.3013108081413741E-8</v>
      </c>
      <c r="H504" s="2">
        <f>SUM(F$4:F504)</f>
        <v>217.34999834590582</v>
      </c>
      <c r="I504" s="5" t="s">
        <v>1068</v>
      </c>
    </row>
  </sheetData>
  <mergeCells count="1">
    <mergeCell ref="J1:K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假设1</vt:lpstr>
      <vt:lpstr>假设2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2020-03-07T04:04:06Z</dcterms:modified>
</cp:coreProperties>
</file>